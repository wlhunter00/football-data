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C:\Users\William\OneDrive\RHS Varisty Football\"/>
    </mc:Choice>
  </mc:AlternateContent>
  <xr:revisionPtr revIDLastSave="3" documentId="11_7DE8980C63B9E7DA368AD1833F0E7EC70CE7B227" xr6:coauthVersionLast="40" xr6:coauthVersionMax="40" xr10:uidLastSave="{CC2E88D0-5C66-4365-9C7E-DF729AF782D3}"/>
  <bookViews>
    <workbookView xWindow="0" yWindow="0" windowWidth="38400" windowHeight="17610" tabRatio="717" activeTab="5" xr2:uid="{00000000-000D-0000-FFFF-FFFF00000000}"/>
  </bookViews>
  <sheets>
    <sheet name="Passing Chart" sheetId="2" r:id="rId1"/>
    <sheet name="Run Chart" sheetId="10" r:id="rId2"/>
    <sheet name="Summary" sheetId="14" r:id="rId3"/>
    <sheet name="Enter Numbers Here" sheetId="7" r:id="rId4"/>
    <sheet name="Refresh" sheetId="13" r:id="rId5"/>
    <sheet name="Chart Data" sheetId="4" r:id="rId6"/>
    <sheet name="Lookup" sheetId="15" r:id="rId7"/>
  </sheets>
  <externalReferences>
    <externalReference r:id="rId8"/>
  </externalReferences>
  <definedNames>
    <definedName name="_xlcn.LinkedTable_Table10" hidden="1">Table10[]</definedName>
    <definedName name="_xlcn.LinkedTable_Table101" hidden="1">Table10[]</definedName>
    <definedName name="_xlcn.LinkedTable_Table11" hidden="1">Table11[]</definedName>
    <definedName name="_xlcn.LinkedTable_Table111" hidden="1">Table11[]</definedName>
    <definedName name="_xlcn.LinkedTable_Table2" hidden="1">Table2[]</definedName>
    <definedName name="_xlcn.LinkedTable_Table21" hidden="1">Table2[]</definedName>
    <definedName name="_xlcn.LinkedTable_Table24" hidden="1">Table24[]</definedName>
    <definedName name="_xlcn.LinkedTable_Table241" hidden="1">Table24[]</definedName>
    <definedName name="_xlcn.LinkedTable_Table246" hidden="1">Table246[]</definedName>
    <definedName name="_xlcn.LinkedTable_Table2461" hidden="1">Table246[]</definedName>
    <definedName name="_xlcn.LinkedTable_Table247" hidden="1">Table247[]</definedName>
    <definedName name="_xlcn.LinkedTable_Table2471" hidden="1">Table247[]</definedName>
    <definedName name="_xlcn.LinkedTable_Table4" hidden="1">Table4[]</definedName>
    <definedName name="_xlcn.LinkedTable_Table41" hidden="1">Table4[]</definedName>
    <definedName name="_xlcn.LinkedTable_Table7" hidden="1">Table7[]</definedName>
    <definedName name="_xlcn.LinkedTable_Table71" hidden="1">Table7[]</definedName>
    <definedName name="_xlcn.LinkedTable_Table8" hidden="1">Table8[]</definedName>
    <definedName name="_xlcn.LinkedTable_Table81" hidden="1">Table8[]</definedName>
    <definedName name="_xlcn.LinkedTable_Table9" hidden="1">Table9[]</definedName>
    <definedName name="_xlcn.LinkedTable_Table91" hidden="1">Table9[]</definedName>
    <definedName name="Attempt">[1]Lookup!$D$63:$D$64</definedName>
    <definedName name="Complete">[1]Lookup!$C$63:$C$65</definedName>
    <definedName name="Direction">Table247[Direction Short]</definedName>
    <definedName name="Distance">Lookup!$A$69:$A$103</definedName>
    <definedName name="Down">Lookup!$B$63:$B$67</definedName>
    <definedName name="Gap">Table1[Gap]</definedName>
    <definedName name="Hash">Table24[Hash Short]</definedName>
    <definedName name="Motion">Table4[Motion Short]</definedName>
    <definedName name="ODK">Table7[ODK Short]</definedName>
    <definedName name="PassData">'Chart Data'!$A$2:$D$11</definedName>
    <definedName name="PlayData">Table11[#All]</definedName>
    <definedName name="PlayType">Table8[Play Type Long]</definedName>
    <definedName name="QTR">Table1[Qtr]</definedName>
    <definedName name="Strength">Table2[Strength Short]</definedName>
    <definedName name="Zone">Table246[Pass Zone Short]</definedName>
  </definedNames>
  <calcPr calcId="191029"/>
  <pivotCaches>
    <pivotCache cacheId="0" r:id="rId9"/>
    <pivotCache cacheId="14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9" name="DownDistCat" connection="LinkedTable_Table9"/>
          <x15:modelTable id="Table8" name="Play Type" connection="LinkedTable_Table8"/>
          <x15:modelTable id="Table7" name="ODK" connection="LinkedTable_Table7"/>
          <x15:modelTable id="Table4" name="Motion" connection="LinkedTable_Table4"/>
          <x15:modelTable id="Table247" name="Direction" connection="LinkedTable_Table247"/>
          <x15:modelTable id="Table246" name="Pass Zone" connection="LinkedTable_Table246"/>
          <x15:modelTable id="Table24" name="Hash" connection="LinkedTable_Table24"/>
          <x15:modelTable id="Table2" name="Strength" connection="LinkedTable_Table2"/>
          <x15:modelTable id="Table11" name="Data" connection="LinkedTable_Table11"/>
          <x15:modelTable id="Table10" name="YardlineZone" connection="LinkedTable_Table10"/>
        </x15:modelTables>
        <x15:modelRelationships>
          <x15:modelRelationship fromTable="Data" fromColumn="Hash" toTable="Hash" toColumn="Hash Short"/>
          <x15:modelRelationship fromTable="Data" fromColumn="Strength" toTable="Strength" toColumn="Strength Short"/>
          <x15:modelRelationship fromTable="Data" fromColumn="Motion" toTable="Motion" toColumn="Motion Short"/>
          <x15:modelRelationship fromTable="Data" fromColumn="Pass Zone" toTable="Pass Zone" toColumn="Pass Zone Short"/>
          <x15:modelRelationship fromTable="Data" fromColumn="Direction" toTable="Direction" toColumn="Direction Short"/>
          <x15:modelRelationship fromTable="Data" fromColumn="ODK" toTable="ODK" toColumn="ODK Short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283" i="7" l="1"/>
  <c r="W284" i="7"/>
  <c r="W285" i="7"/>
  <c r="W286" i="7"/>
  <c r="W287" i="7"/>
  <c r="W288" i="7"/>
  <c r="W289" i="7"/>
  <c r="W290" i="7"/>
  <c r="W291" i="7"/>
  <c r="W292" i="7"/>
  <c r="W293" i="7"/>
  <c r="W294" i="7"/>
  <c r="W295" i="7"/>
  <c r="W296" i="7"/>
  <c r="W297" i="7"/>
  <c r="W298" i="7"/>
  <c r="W299" i="7"/>
  <c r="W300" i="7"/>
  <c r="W301" i="7"/>
  <c r="W302" i="7"/>
  <c r="W303" i="7"/>
  <c r="W304" i="7"/>
  <c r="W305" i="7"/>
  <c r="W306" i="7"/>
  <c r="W307" i="7"/>
  <c r="W308" i="7"/>
  <c r="W309" i="7"/>
  <c r="W310" i="7"/>
  <c r="W311" i="7"/>
  <c r="W312" i="7"/>
  <c r="W313" i="7"/>
  <c r="W314" i="7"/>
  <c r="W315" i="7"/>
  <c r="W316" i="7"/>
  <c r="W317" i="7"/>
  <c r="W318" i="7"/>
  <c r="W319" i="7"/>
  <c r="W320" i="7"/>
  <c r="W321" i="7"/>
  <c r="W322" i="7"/>
  <c r="W323" i="7"/>
  <c r="W324" i="7"/>
  <c r="W325" i="7"/>
  <c r="W326" i="7"/>
  <c r="W327" i="7"/>
  <c r="W328" i="7"/>
  <c r="W329" i="7"/>
  <c r="W330" i="7"/>
  <c r="W331" i="7"/>
  <c r="W332" i="7"/>
  <c r="W333" i="7"/>
  <c r="W334" i="7"/>
  <c r="W335" i="7"/>
  <c r="W336" i="7"/>
  <c r="W337" i="7"/>
  <c r="W338" i="7"/>
  <c r="W339" i="7"/>
  <c r="W340" i="7"/>
  <c r="W341" i="7"/>
  <c r="W342" i="7"/>
  <c r="W343" i="7"/>
  <c r="W344" i="7"/>
  <c r="W345" i="7"/>
  <c r="W346" i="7"/>
  <c r="W347" i="7"/>
  <c r="W348" i="7"/>
  <c r="W349" i="7"/>
  <c r="W350" i="7"/>
  <c r="W351" i="7"/>
  <c r="W352" i="7"/>
  <c r="W353" i="7"/>
  <c r="W354" i="7"/>
  <c r="W355" i="7"/>
  <c r="W356" i="7"/>
  <c r="W357" i="7"/>
  <c r="W358" i="7"/>
  <c r="W359" i="7"/>
  <c r="W360" i="7"/>
  <c r="W361" i="7"/>
  <c r="W362" i="7"/>
  <c r="W363" i="7"/>
  <c r="W364" i="7"/>
  <c r="W365" i="7"/>
  <c r="W366" i="7"/>
  <c r="W367" i="7"/>
  <c r="W368" i="7"/>
  <c r="W369" i="7"/>
  <c r="W370" i="7"/>
  <c r="W371" i="7"/>
  <c r="W372" i="7"/>
  <c r="W373" i="7"/>
  <c r="W374" i="7"/>
  <c r="W375" i="7"/>
  <c r="W376" i="7"/>
  <c r="W377" i="7"/>
  <c r="W378" i="7"/>
  <c r="W379" i="7"/>
  <c r="W380" i="7"/>
  <c r="W381" i="7"/>
  <c r="W382" i="7"/>
  <c r="W383" i="7"/>
  <c r="W384" i="7"/>
  <c r="W385" i="7"/>
  <c r="W386" i="7"/>
  <c r="W387" i="7"/>
  <c r="W388" i="7"/>
  <c r="W389" i="7"/>
  <c r="W390" i="7"/>
  <c r="W391" i="7"/>
  <c r="W392" i="7"/>
  <c r="U283" i="7"/>
  <c r="U284" i="7"/>
  <c r="U285" i="7"/>
  <c r="U286" i="7"/>
  <c r="U287" i="7"/>
  <c r="U288" i="7"/>
  <c r="U289" i="7"/>
  <c r="U290" i="7"/>
  <c r="U291" i="7"/>
  <c r="U292" i="7"/>
  <c r="U293" i="7"/>
  <c r="U294" i="7"/>
  <c r="U295" i="7"/>
  <c r="U296" i="7"/>
  <c r="U297" i="7"/>
  <c r="U298" i="7"/>
  <c r="U299" i="7"/>
  <c r="U300" i="7"/>
  <c r="U301" i="7"/>
  <c r="U302" i="7"/>
  <c r="U303" i="7"/>
  <c r="U304" i="7"/>
  <c r="U305" i="7"/>
  <c r="U306" i="7"/>
  <c r="U307" i="7"/>
  <c r="U308" i="7"/>
  <c r="U309" i="7"/>
  <c r="U310" i="7"/>
  <c r="U311" i="7"/>
  <c r="U312" i="7"/>
  <c r="U313" i="7"/>
  <c r="U314" i="7"/>
  <c r="U315" i="7"/>
  <c r="U316" i="7"/>
  <c r="U317" i="7"/>
  <c r="U318" i="7"/>
  <c r="U319" i="7"/>
  <c r="U320" i="7"/>
  <c r="U321" i="7"/>
  <c r="U322" i="7"/>
  <c r="U323" i="7"/>
  <c r="U324" i="7"/>
  <c r="U325" i="7"/>
  <c r="U326" i="7"/>
  <c r="U327" i="7"/>
  <c r="U328" i="7"/>
  <c r="U329" i="7"/>
  <c r="U330" i="7"/>
  <c r="U331" i="7"/>
  <c r="U332" i="7"/>
  <c r="U333" i="7"/>
  <c r="U334" i="7"/>
  <c r="U335" i="7"/>
  <c r="U336" i="7"/>
  <c r="U337" i="7"/>
  <c r="U338" i="7"/>
  <c r="U339" i="7"/>
  <c r="U340" i="7"/>
  <c r="U341" i="7"/>
  <c r="U342" i="7"/>
  <c r="U343" i="7"/>
  <c r="U344" i="7"/>
  <c r="U345" i="7"/>
  <c r="U346" i="7"/>
  <c r="U347" i="7"/>
  <c r="U348" i="7"/>
  <c r="U349" i="7"/>
  <c r="U350" i="7"/>
  <c r="U351" i="7"/>
  <c r="U352" i="7"/>
  <c r="U353" i="7"/>
  <c r="U354" i="7"/>
  <c r="U355" i="7"/>
  <c r="U356" i="7"/>
  <c r="U357" i="7"/>
  <c r="U358" i="7"/>
  <c r="U359" i="7"/>
  <c r="U360" i="7"/>
  <c r="U361" i="7"/>
  <c r="U362" i="7"/>
  <c r="U363" i="7"/>
  <c r="U364" i="7"/>
  <c r="U365" i="7"/>
  <c r="U366" i="7"/>
  <c r="U367" i="7"/>
  <c r="U368" i="7"/>
  <c r="U369" i="7"/>
  <c r="U370" i="7"/>
  <c r="U371" i="7"/>
  <c r="U372" i="7"/>
  <c r="U373" i="7"/>
  <c r="U374" i="7"/>
  <c r="U375" i="7"/>
  <c r="U376" i="7"/>
  <c r="U377" i="7"/>
  <c r="U378" i="7"/>
  <c r="U379" i="7"/>
  <c r="U380" i="7"/>
  <c r="U381" i="7"/>
  <c r="U382" i="7"/>
  <c r="U383" i="7"/>
  <c r="U384" i="7"/>
  <c r="U385" i="7"/>
  <c r="U386" i="7"/>
  <c r="U387" i="7"/>
  <c r="U388" i="7"/>
  <c r="U389" i="7"/>
  <c r="U390" i="7"/>
  <c r="U391" i="7"/>
  <c r="U392" i="7"/>
  <c r="S283" i="7"/>
  <c r="S284" i="7"/>
  <c r="S285" i="7"/>
  <c r="S286" i="7"/>
  <c r="S287" i="7"/>
  <c r="S288" i="7"/>
  <c r="S289" i="7"/>
  <c r="S290" i="7"/>
  <c r="S291" i="7"/>
  <c r="S292" i="7"/>
  <c r="S293" i="7"/>
  <c r="S294" i="7"/>
  <c r="S295" i="7"/>
  <c r="S296" i="7"/>
  <c r="S297" i="7"/>
  <c r="S298" i="7"/>
  <c r="S299" i="7"/>
  <c r="S300" i="7"/>
  <c r="S301" i="7"/>
  <c r="S302" i="7"/>
  <c r="S303" i="7"/>
  <c r="S304" i="7"/>
  <c r="S305" i="7"/>
  <c r="S306" i="7"/>
  <c r="S307" i="7"/>
  <c r="S308" i="7"/>
  <c r="S309" i="7"/>
  <c r="S310" i="7"/>
  <c r="S311" i="7"/>
  <c r="S312" i="7"/>
  <c r="S313" i="7"/>
  <c r="S314" i="7"/>
  <c r="S315" i="7"/>
  <c r="S316" i="7"/>
  <c r="S317" i="7"/>
  <c r="S318" i="7"/>
  <c r="S319" i="7"/>
  <c r="S320" i="7"/>
  <c r="S321" i="7"/>
  <c r="S322" i="7"/>
  <c r="S323" i="7"/>
  <c r="S324" i="7"/>
  <c r="S325" i="7"/>
  <c r="S326" i="7"/>
  <c r="S327" i="7"/>
  <c r="S328" i="7"/>
  <c r="S329" i="7"/>
  <c r="S330" i="7"/>
  <c r="S331" i="7"/>
  <c r="S332" i="7"/>
  <c r="S333" i="7"/>
  <c r="S334" i="7"/>
  <c r="S335" i="7"/>
  <c r="S336" i="7"/>
  <c r="S337" i="7"/>
  <c r="S338" i="7"/>
  <c r="S339" i="7"/>
  <c r="S340" i="7"/>
  <c r="S341" i="7"/>
  <c r="S342" i="7"/>
  <c r="S343" i="7"/>
  <c r="S344" i="7"/>
  <c r="S345" i="7"/>
  <c r="S346" i="7"/>
  <c r="S347" i="7"/>
  <c r="S348" i="7"/>
  <c r="S349" i="7"/>
  <c r="S350" i="7"/>
  <c r="S351" i="7"/>
  <c r="S352" i="7"/>
  <c r="S353" i="7"/>
  <c r="S354" i="7"/>
  <c r="S355" i="7"/>
  <c r="S356" i="7"/>
  <c r="S357" i="7"/>
  <c r="S358" i="7"/>
  <c r="S359" i="7"/>
  <c r="S360" i="7"/>
  <c r="S361" i="7"/>
  <c r="S362" i="7"/>
  <c r="S363" i="7"/>
  <c r="S364" i="7"/>
  <c r="S365" i="7"/>
  <c r="S366" i="7"/>
  <c r="S367" i="7"/>
  <c r="S368" i="7"/>
  <c r="S369" i="7"/>
  <c r="S370" i="7"/>
  <c r="S371" i="7"/>
  <c r="S372" i="7"/>
  <c r="S373" i="7"/>
  <c r="S374" i="7"/>
  <c r="S375" i="7"/>
  <c r="S376" i="7"/>
  <c r="S377" i="7"/>
  <c r="S378" i="7"/>
  <c r="S379" i="7"/>
  <c r="S380" i="7"/>
  <c r="S381" i="7"/>
  <c r="S382" i="7"/>
  <c r="S383" i="7"/>
  <c r="S384" i="7"/>
  <c r="S385" i="7"/>
  <c r="S386" i="7"/>
  <c r="S387" i="7"/>
  <c r="S388" i="7"/>
  <c r="S389" i="7"/>
  <c r="S390" i="7"/>
  <c r="S391" i="7"/>
  <c r="S392" i="7"/>
  <c r="R283" i="7"/>
  <c r="R284" i="7"/>
  <c r="R285" i="7"/>
  <c r="R286" i="7"/>
  <c r="R287" i="7"/>
  <c r="R288" i="7"/>
  <c r="R289" i="7"/>
  <c r="R290" i="7"/>
  <c r="R291" i="7"/>
  <c r="R292" i="7"/>
  <c r="R293" i="7"/>
  <c r="R294" i="7"/>
  <c r="R295" i="7"/>
  <c r="R296" i="7"/>
  <c r="R297" i="7"/>
  <c r="R298" i="7"/>
  <c r="R299" i="7"/>
  <c r="R300" i="7"/>
  <c r="R301" i="7"/>
  <c r="R302" i="7"/>
  <c r="R303" i="7"/>
  <c r="R304" i="7"/>
  <c r="R305" i="7"/>
  <c r="R306" i="7"/>
  <c r="R307" i="7"/>
  <c r="R308" i="7"/>
  <c r="R309" i="7"/>
  <c r="R310" i="7"/>
  <c r="R311" i="7"/>
  <c r="R312" i="7"/>
  <c r="R313" i="7"/>
  <c r="R314" i="7"/>
  <c r="R315" i="7"/>
  <c r="R316" i="7"/>
  <c r="R317" i="7"/>
  <c r="R318" i="7"/>
  <c r="R319" i="7"/>
  <c r="R320" i="7"/>
  <c r="R321" i="7"/>
  <c r="R322" i="7"/>
  <c r="R323" i="7"/>
  <c r="R324" i="7"/>
  <c r="R325" i="7"/>
  <c r="R326" i="7"/>
  <c r="R327" i="7"/>
  <c r="R328" i="7"/>
  <c r="R329" i="7"/>
  <c r="R330" i="7"/>
  <c r="R331" i="7"/>
  <c r="R332" i="7"/>
  <c r="R333" i="7"/>
  <c r="R334" i="7"/>
  <c r="R335" i="7"/>
  <c r="R336" i="7"/>
  <c r="R337" i="7"/>
  <c r="R338" i="7"/>
  <c r="R339" i="7"/>
  <c r="R340" i="7"/>
  <c r="R341" i="7"/>
  <c r="R342" i="7"/>
  <c r="R343" i="7"/>
  <c r="R344" i="7"/>
  <c r="R345" i="7"/>
  <c r="R346" i="7"/>
  <c r="R347" i="7"/>
  <c r="R348" i="7"/>
  <c r="R349" i="7"/>
  <c r="R350" i="7"/>
  <c r="R351" i="7"/>
  <c r="R352" i="7"/>
  <c r="R353" i="7"/>
  <c r="R354" i="7"/>
  <c r="R355" i="7"/>
  <c r="R356" i="7"/>
  <c r="R357" i="7"/>
  <c r="R358" i="7"/>
  <c r="R359" i="7"/>
  <c r="R360" i="7"/>
  <c r="R361" i="7"/>
  <c r="R362" i="7"/>
  <c r="R363" i="7"/>
  <c r="R364" i="7"/>
  <c r="R365" i="7"/>
  <c r="R366" i="7"/>
  <c r="R367" i="7"/>
  <c r="R368" i="7"/>
  <c r="R369" i="7"/>
  <c r="R370" i="7"/>
  <c r="R371" i="7"/>
  <c r="R372" i="7"/>
  <c r="R373" i="7"/>
  <c r="R374" i="7"/>
  <c r="R375" i="7"/>
  <c r="R376" i="7"/>
  <c r="R377" i="7"/>
  <c r="R378" i="7"/>
  <c r="R379" i="7"/>
  <c r="R380" i="7"/>
  <c r="R381" i="7"/>
  <c r="R382" i="7"/>
  <c r="R383" i="7"/>
  <c r="R384" i="7"/>
  <c r="R385" i="7"/>
  <c r="R386" i="7"/>
  <c r="R387" i="7"/>
  <c r="R388" i="7"/>
  <c r="R389" i="7"/>
  <c r="R390" i="7"/>
  <c r="R391" i="7"/>
  <c r="R392" i="7"/>
  <c r="Q283" i="7"/>
  <c r="Q284" i="7"/>
  <c r="Q285" i="7"/>
  <c r="Q286" i="7"/>
  <c r="Q287" i="7"/>
  <c r="Q288" i="7"/>
  <c r="Q289" i="7"/>
  <c r="Q290" i="7"/>
  <c r="Q291" i="7"/>
  <c r="Q292" i="7"/>
  <c r="Q293" i="7"/>
  <c r="Q294" i="7"/>
  <c r="Q295" i="7"/>
  <c r="Q296" i="7"/>
  <c r="Q297" i="7"/>
  <c r="Q298" i="7"/>
  <c r="Q299" i="7"/>
  <c r="Q300" i="7"/>
  <c r="Q301" i="7"/>
  <c r="Q302" i="7"/>
  <c r="Q303" i="7"/>
  <c r="Q304" i="7"/>
  <c r="Q305" i="7"/>
  <c r="Q306" i="7"/>
  <c r="Q307" i="7"/>
  <c r="Q308" i="7"/>
  <c r="Q309" i="7"/>
  <c r="Q310" i="7"/>
  <c r="Q311" i="7"/>
  <c r="Q312" i="7"/>
  <c r="Q313" i="7"/>
  <c r="Q314" i="7"/>
  <c r="Q315" i="7"/>
  <c r="Q316" i="7"/>
  <c r="Q317" i="7"/>
  <c r="Q318" i="7"/>
  <c r="Q319" i="7"/>
  <c r="Q320" i="7"/>
  <c r="Q321" i="7"/>
  <c r="Q322" i="7"/>
  <c r="Q323" i="7"/>
  <c r="Q324" i="7"/>
  <c r="Q325" i="7"/>
  <c r="Q326" i="7"/>
  <c r="Q327" i="7"/>
  <c r="Q328" i="7"/>
  <c r="Q329" i="7"/>
  <c r="Q330" i="7"/>
  <c r="Q331" i="7"/>
  <c r="Q332" i="7"/>
  <c r="Q333" i="7"/>
  <c r="Q334" i="7"/>
  <c r="Q335" i="7"/>
  <c r="Q336" i="7"/>
  <c r="Q337" i="7"/>
  <c r="Q338" i="7"/>
  <c r="Q339" i="7"/>
  <c r="Q340" i="7"/>
  <c r="Q341" i="7"/>
  <c r="Q342" i="7"/>
  <c r="Q343" i="7"/>
  <c r="Q344" i="7"/>
  <c r="Q345" i="7"/>
  <c r="Q346" i="7"/>
  <c r="Q347" i="7"/>
  <c r="Q348" i="7"/>
  <c r="Q349" i="7"/>
  <c r="Q350" i="7"/>
  <c r="Q351" i="7"/>
  <c r="Q352" i="7"/>
  <c r="Q353" i="7"/>
  <c r="Q354" i="7"/>
  <c r="Q355" i="7"/>
  <c r="Q356" i="7"/>
  <c r="Q357" i="7"/>
  <c r="Q358" i="7"/>
  <c r="Q359" i="7"/>
  <c r="Q360" i="7"/>
  <c r="Q361" i="7"/>
  <c r="Q362" i="7"/>
  <c r="Q363" i="7"/>
  <c r="Q364" i="7"/>
  <c r="Q365" i="7"/>
  <c r="Q366" i="7"/>
  <c r="Q367" i="7"/>
  <c r="Q368" i="7"/>
  <c r="Q369" i="7"/>
  <c r="Q370" i="7"/>
  <c r="Q371" i="7"/>
  <c r="Q372" i="7"/>
  <c r="Q373" i="7"/>
  <c r="Q374" i="7"/>
  <c r="Q375" i="7"/>
  <c r="Q376" i="7"/>
  <c r="Q377" i="7"/>
  <c r="Q378" i="7"/>
  <c r="Q379" i="7"/>
  <c r="Q380" i="7"/>
  <c r="Q381" i="7"/>
  <c r="Q382" i="7"/>
  <c r="Q383" i="7"/>
  <c r="Q384" i="7"/>
  <c r="Q385" i="7"/>
  <c r="Q386" i="7"/>
  <c r="Q387" i="7"/>
  <c r="Q388" i="7"/>
  <c r="Q389" i="7"/>
  <c r="Q390" i="7"/>
  <c r="Q391" i="7"/>
  <c r="Q392" i="7"/>
  <c r="P283" i="7"/>
  <c r="P284" i="7"/>
  <c r="P285" i="7"/>
  <c r="P286" i="7"/>
  <c r="P287" i="7"/>
  <c r="P288" i="7"/>
  <c r="P289" i="7"/>
  <c r="P290" i="7"/>
  <c r="P291" i="7"/>
  <c r="P292" i="7"/>
  <c r="P293" i="7"/>
  <c r="P294" i="7"/>
  <c r="P295" i="7"/>
  <c r="P296" i="7"/>
  <c r="P297" i="7"/>
  <c r="P298" i="7"/>
  <c r="P299" i="7"/>
  <c r="P300" i="7"/>
  <c r="P301" i="7"/>
  <c r="P302" i="7"/>
  <c r="P303" i="7"/>
  <c r="P304" i="7"/>
  <c r="P305" i="7"/>
  <c r="P306" i="7"/>
  <c r="P307" i="7"/>
  <c r="P308" i="7"/>
  <c r="P309" i="7"/>
  <c r="P310" i="7"/>
  <c r="P311" i="7"/>
  <c r="P312" i="7"/>
  <c r="P313" i="7"/>
  <c r="P314" i="7"/>
  <c r="P315" i="7"/>
  <c r="P316" i="7"/>
  <c r="P317" i="7"/>
  <c r="P318" i="7"/>
  <c r="P319" i="7"/>
  <c r="P320" i="7"/>
  <c r="P321" i="7"/>
  <c r="P322" i="7"/>
  <c r="P323" i="7"/>
  <c r="P324" i="7"/>
  <c r="P325" i="7"/>
  <c r="P326" i="7"/>
  <c r="P327" i="7"/>
  <c r="P328" i="7"/>
  <c r="P329" i="7"/>
  <c r="P330" i="7"/>
  <c r="P331" i="7"/>
  <c r="P332" i="7"/>
  <c r="P333" i="7"/>
  <c r="P334" i="7"/>
  <c r="P335" i="7"/>
  <c r="P336" i="7"/>
  <c r="P337" i="7"/>
  <c r="P338" i="7"/>
  <c r="P339" i="7"/>
  <c r="P340" i="7"/>
  <c r="P341" i="7"/>
  <c r="P342" i="7"/>
  <c r="P343" i="7"/>
  <c r="P344" i="7"/>
  <c r="P345" i="7"/>
  <c r="P346" i="7"/>
  <c r="P347" i="7"/>
  <c r="P348" i="7"/>
  <c r="P349" i="7"/>
  <c r="P350" i="7"/>
  <c r="P351" i="7"/>
  <c r="P352" i="7"/>
  <c r="P353" i="7"/>
  <c r="P354" i="7"/>
  <c r="P355" i="7"/>
  <c r="P356" i="7"/>
  <c r="P357" i="7"/>
  <c r="P358" i="7"/>
  <c r="P359" i="7"/>
  <c r="P360" i="7"/>
  <c r="P361" i="7"/>
  <c r="P362" i="7"/>
  <c r="P363" i="7"/>
  <c r="P364" i="7"/>
  <c r="P365" i="7"/>
  <c r="P366" i="7"/>
  <c r="P367" i="7"/>
  <c r="P368" i="7"/>
  <c r="P369" i="7"/>
  <c r="P370" i="7"/>
  <c r="P371" i="7"/>
  <c r="P372" i="7"/>
  <c r="P373" i="7"/>
  <c r="P374" i="7"/>
  <c r="P375" i="7"/>
  <c r="P376" i="7"/>
  <c r="P377" i="7"/>
  <c r="P378" i="7"/>
  <c r="P379" i="7"/>
  <c r="P380" i="7"/>
  <c r="P381" i="7"/>
  <c r="P382" i="7"/>
  <c r="P383" i="7"/>
  <c r="P384" i="7"/>
  <c r="P385" i="7"/>
  <c r="P386" i="7"/>
  <c r="P387" i="7"/>
  <c r="P388" i="7"/>
  <c r="P389" i="7"/>
  <c r="P390" i="7"/>
  <c r="P391" i="7"/>
  <c r="P392" i="7"/>
  <c r="W216" i="7" l="1"/>
  <c r="W217" i="7"/>
  <c r="W218" i="7"/>
  <c r="W219" i="7"/>
  <c r="W220" i="7"/>
  <c r="W221" i="7"/>
  <c r="W222" i="7"/>
  <c r="W223" i="7"/>
  <c r="W224" i="7"/>
  <c r="W225" i="7"/>
  <c r="W226" i="7"/>
  <c r="W227" i="7"/>
  <c r="W228" i="7"/>
  <c r="W229" i="7"/>
  <c r="W230" i="7"/>
  <c r="W231" i="7"/>
  <c r="W232" i="7"/>
  <c r="W233" i="7"/>
  <c r="W234" i="7"/>
  <c r="W235" i="7"/>
  <c r="W236" i="7"/>
  <c r="W237" i="7"/>
  <c r="W238" i="7"/>
  <c r="W239" i="7"/>
  <c r="W240" i="7"/>
  <c r="W241" i="7"/>
  <c r="W242" i="7"/>
  <c r="W243" i="7"/>
  <c r="W244" i="7"/>
  <c r="W245" i="7"/>
  <c r="W246" i="7"/>
  <c r="W247" i="7"/>
  <c r="W248" i="7"/>
  <c r="W249" i="7"/>
  <c r="W250" i="7"/>
  <c r="W251" i="7"/>
  <c r="W252" i="7"/>
  <c r="W253" i="7"/>
  <c r="W254" i="7"/>
  <c r="W255" i="7"/>
  <c r="W256" i="7"/>
  <c r="W257" i="7"/>
  <c r="W258" i="7"/>
  <c r="W259" i="7"/>
  <c r="W260" i="7"/>
  <c r="W261" i="7"/>
  <c r="W262" i="7"/>
  <c r="W263" i="7"/>
  <c r="W264" i="7"/>
  <c r="W265" i="7"/>
  <c r="W266" i="7"/>
  <c r="W267" i="7"/>
  <c r="W268" i="7"/>
  <c r="W269" i="7"/>
  <c r="W270" i="7"/>
  <c r="W271" i="7"/>
  <c r="W272" i="7"/>
  <c r="W273" i="7"/>
  <c r="W274" i="7"/>
  <c r="W275" i="7"/>
  <c r="W276" i="7"/>
  <c r="W277" i="7"/>
  <c r="W278" i="7"/>
  <c r="W279" i="7"/>
  <c r="W280" i="7"/>
  <c r="W281" i="7"/>
  <c r="W282" i="7"/>
  <c r="S216" i="7"/>
  <c r="S217" i="7"/>
  <c r="S218" i="7"/>
  <c r="S219" i="7"/>
  <c r="S220" i="7"/>
  <c r="S221" i="7"/>
  <c r="S222" i="7"/>
  <c r="S223" i="7"/>
  <c r="S224" i="7"/>
  <c r="S225" i="7"/>
  <c r="S226" i="7"/>
  <c r="S227" i="7"/>
  <c r="S228" i="7"/>
  <c r="S229" i="7"/>
  <c r="S230" i="7"/>
  <c r="S231" i="7"/>
  <c r="S232" i="7"/>
  <c r="S233" i="7"/>
  <c r="S234" i="7"/>
  <c r="S235" i="7"/>
  <c r="S236" i="7"/>
  <c r="S237" i="7"/>
  <c r="S238" i="7"/>
  <c r="S239" i="7"/>
  <c r="S240" i="7"/>
  <c r="S241" i="7"/>
  <c r="S242" i="7"/>
  <c r="S243" i="7"/>
  <c r="S244" i="7"/>
  <c r="S245" i="7"/>
  <c r="S246" i="7"/>
  <c r="S247" i="7"/>
  <c r="S248" i="7"/>
  <c r="S249" i="7"/>
  <c r="S250" i="7"/>
  <c r="S251" i="7"/>
  <c r="S252" i="7"/>
  <c r="S253" i="7"/>
  <c r="S254" i="7"/>
  <c r="S255" i="7"/>
  <c r="S256" i="7"/>
  <c r="S257" i="7"/>
  <c r="S258" i="7"/>
  <c r="S259" i="7"/>
  <c r="S260" i="7"/>
  <c r="S261" i="7"/>
  <c r="S262" i="7"/>
  <c r="S263" i="7"/>
  <c r="S264" i="7"/>
  <c r="S265" i="7"/>
  <c r="S266" i="7"/>
  <c r="S267" i="7"/>
  <c r="S268" i="7"/>
  <c r="S269" i="7"/>
  <c r="S270" i="7"/>
  <c r="S271" i="7"/>
  <c r="S272" i="7"/>
  <c r="S273" i="7"/>
  <c r="S274" i="7"/>
  <c r="S275" i="7"/>
  <c r="S276" i="7"/>
  <c r="S277" i="7"/>
  <c r="S278" i="7"/>
  <c r="S279" i="7"/>
  <c r="S280" i="7"/>
  <c r="S281" i="7"/>
  <c r="S282" i="7"/>
  <c r="R216" i="7"/>
  <c r="R217" i="7"/>
  <c r="R218" i="7"/>
  <c r="R219" i="7"/>
  <c r="R220" i="7"/>
  <c r="R221" i="7"/>
  <c r="R222" i="7"/>
  <c r="R223" i="7"/>
  <c r="R224" i="7"/>
  <c r="R225" i="7"/>
  <c r="R226" i="7"/>
  <c r="R227" i="7"/>
  <c r="R228" i="7"/>
  <c r="R229" i="7"/>
  <c r="R230" i="7"/>
  <c r="R231" i="7"/>
  <c r="R232" i="7"/>
  <c r="R233" i="7"/>
  <c r="R234" i="7"/>
  <c r="R235" i="7"/>
  <c r="R236" i="7"/>
  <c r="R237" i="7"/>
  <c r="R238" i="7"/>
  <c r="R239" i="7"/>
  <c r="R240" i="7"/>
  <c r="R241" i="7"/>
  <c r="R242" i="7"/>
  <c r="R243" i="7"/>
  <c r="R244" i="7"/>
  <c r="R245" i="7"/>
  <c r="R246" i="7"/>
  <c r="R247" i="7"/>
  <c r="R248" i="7"/>
  <c r="R249" i="7"/>
  <c r="R250" i="7"/>
  <c r="R251" i="7"/>
  <c r="R252" i="7"/>
  <c r="R253" i="7"/>
  <c r="R254" i="7"/>
  <c r="R255" i="7"/>
  <c r="R256" i="7"/>
  <c r="R257" i="7"/>
  <c r="R258" i="7"/>
  <c r="R259" i="7"/>
  <c r="R260" i="7"/>
  <c r="R261" i="7"/>
  <c r="R262" i="7"/>
  <c r="R263" i="7"/>
  <c r="R264" i="7"/>
  <c r="R265" i="7"/>
  <c r="R266" i="7"/>
  <c r="R267" i="7"/>
  <c r="R268" i="7"/>
  <c r="R269" i="7"/>
  <c r="R270" i="7"/>
  <c r="R271" i="7"/>
  <c r="R272" i="7"/>
  <c r="R273" i="7"/>
  <c r="R274" i="7"/>
  <c r="R275" i="7"/>
  <c r="R276" i="7"/>
  <c r="R277" i="7"/>
  <c r="R278" i="7"/>
  <c r="R279" i="7"/>
  <c r="R280" i="7"/>
  <c r="R281" i="7"/>
  <c r="R282" i="7"/>
  <c r="Q216" i="7"/>
  <c r="Q217" i="7"/>
  <c r="Q218" i="7"/>
  <c r="Q219" i="7"/>
  <c r="Q220" i="7"/>
  <c r="Q221" i="7"/>
  <c r="Q222" i="7"/>
  <c r="Q223" i="7"/>
  <c r="Q224" i="7"/>
  <c r="Q225" i="7"/>
  <c r="Q226" i="7"/>
  <c r="Q227" i="7"/>
  <c r="Q228" i="7"/>
  <c r="Q229" i="7"/>
  <c r="Q230" i="7"/>
  <c r="Q231" i="7"/>
  <c r="Q232" i="7"/>
  <c r="Q233" i="7"/>
  <c r="Q234" i="7"/>
  <c r="Q235" i="7"/>
  <c r="Q236" i="7"/>
  <c r="Q237" i="7"/>
  <c r="Q238" i="7"/>
  <c r="Q239" i="7"/>
  <c r="Q240" i="7"/>
  <c r="Q241" i="7"/>
  <c r="Q242" i="7"/>
  <c r="Q243" i="7"/>
  <c r="Q244" i="7"/>
  <c r="Q245" i="7"/>
  <c r="Q246" i="7"/>
  <c r="Q247" i="7"/>
  <c r="Q248" i="7"/>
  <c r="Q249" i="7"/>
  <c r="Q250" i="7"/>
  <c r="Q251" i="7"/>
  <c r="Q252" i="7"/>
  <c r="Q253" i="7"/>
  <c r="Q254" i="7"/>
  <c r="Q255" i="7"/>
  <c r="Q256" i="7"/>
  <c r="Q257" i="7"/>
  <c r="Q258" i="7"/>
  <c r="Q259" i="7"/>
  <c r="Q260" i="7"/>
  <c r="Q261" i="7"/>
  <c r="Q262" i="7"/>
  <c r="Q263" i="7"/>
  <c r="Q264" i="7"/>
  <c r="Q265" i="7"/>
  <c r="Q266" i="7"/>
  <c r="Q267" i="7"/>
  <c r="Q268" i="7"/>
  <c r="Q269" i="7"/>
  <c r="Q270" i="7"/>
  <c r="Q271" i="7"/>
  <c r="Q272" i="7"/>
  <c r="Q273" i="7"/>
  <c r="Q274" i="7"/>
  <c r="Q275" i="7"/>
  <c r="Q276" i="7"/>
  <c r="Q277" i="7"/>
  <c r="Q278" i="7"/>
  <c r="Q279" i="7"/>
  <c r="Q280" i="7"/>
  <c r="Q281" i="7"/>
  <c r="Q282" i="7"/>
  <c r="U214" i="7"/>
  <c r="U215" i="7"/>
  <c r="U216" i="7"/>
  <c r="U217" i="7"/>
  <c r="U218" i="7"/>
  <c r="U219" i="7"/>
  <c r="U220" i="7"/>
  <c r="U221" i="7"/>
  <c r="U222" i="7"/>
  <c r="U223" i="7"/>
  <c r="U224" i="7"/>
  <c r="U225" i="7"/>
  <c r="U226" i="7"/>
  <c r="U227" i="7"/>
  <c r="U228" i="7"/>
  <c r="U229" i="7"/>
  <c r="U230" i="7"/>
  <c r="U231" i="7"/>
  <c r="U232" i="7"/>
  <c r="U233" i="7"/>
  <c r="U234" i="7"/>
  <c r="U235" i="7"/>
  <c r="U236" i="7"/>
  <c r="U237" i="7"/>
  <c r="U238" i="7"/>
  <c r="U239" i="7"/>
  <c r="U240" i="7"/>
  <c r="U241" i="7"/>
  <c r="U242" i="7"/>
  <c r="U243" i="7"/>
  <c r="U244" i="7"/>
  <c r="U245" i="7"/>
  <c r="U246" i="7"/>
  <c r="U247" i="7"/>
  <c r="U248" i="7"/>
  <c r="U249" i="7"/>
  <c r="U250" i="7"/>
  <c r="U251" i="7"/>
  <c r="U252" i="7"/>
  <c r="U253" i="7"/>
  <c r="U254" i="7"/>
  <c r="U255" i="7"/>
  <c r="U256" i="7"/>
  <c r="U257" i="7"/>
  <c r="U258" i="7"/>
  <c r="U259" i="7"/>
  <c r="U260" i="7"/>
  <c r="U261" i="7"/>
  <c r="U262" i="7"/>
  <c r="U263" i="7"/>
  <c r="U264" i="7"/>
  <c r="U265" i="7"/>
  <c r="U266" i="7"/>
  <c r="U267" i="7"/>
  <c r="U268" i="7"/>
  <c r="U269" i="7"/>
  <c r="U270" i="7"/>
  <c r="U271" i="7"/>
  <c r="U272" i="7"/>
  <c r="U273" i="7"/>
  <c r="U274" i="7"/>
  <c r="U275" i="7"/>
  <c r="U276" i="7"/>
  <c r="U277" i="7"/>
  <c r="U278" i="7"/>
  <c r="U279" i="7"/>
  <c r="U280" i="7"/>
  <c r="U281" i="7"/>
  <c r="U282" i="7"/>
  <c r="P216" i="7"/>
  <c r="P217" i="7"/>
  <c r="P218" i="7"/>
  <c r="P219" i="7"/>
  <c r="P220" i="7"/>
  <c r="P221" i="7"/>
  <c r="P222" i="7"/>
  <c r="P223" i="7"/>
  <c r="P224" i="7"/>
  <c r="P225" i="7"/>
  <c r="P226" i="7"/>
  <c r="P227" i="7"/>
  <c r="P228" i="7"/>
  <c r="P229" i="7"/>
  <c r="P230" i="7"/>
  <c r="P231" i="7"/>
  <c r="P232" i="7"/>
  <c r="P233" i="7"/>
  <c r="P234" i="7"/>
  <c r="P235" i="7"/>
  <c r="P236" i="7"/>
  <c r="P237" i="7"/>
  <c r="P238" i="7"/>
  <c r="P239" i="7"/>
  <c r="P240" i="7"/>
  <c r="P241" i="7"/>
  <c r="P242" i="7"/>
  <c r="P243" i="7"/>
  <c r="P244" i="7"/>
  <c r="P245" i="7"/>
  <c r="P246" i="7"/>
  <c r="P247" i="7"/>
  <c r="P248" i="7"/>
  <c r="P249" i="7"/>
  <c r="P250" i="7"/>
  <c r="P251" i="7"/>
  <c r="P252" i="7"/>
  <c r="P253" i="7"/>
  <c r="P254" i="7"/>
  <c r="P255" i="7"/>
  <c r="P256" i="7"/>
  <c r="P257" i="7"/>
  <c r="P258" i="7"/>
  <c r="P259" i="7"/>
  <c r="P260" i="7"/>
  <c r="P261" i="7"/>
  <c r="P262" i="7"/>
  <c r="P263" i="7"/>
  <c r="P264" i="7"/>
  <c r="P265" i="7"/>
  <c r="P266" i="7"/>
  <c r="P267" i="7"/>
  <c r="P268" i="7"/>
  <c r="P269" i="7"/>
  <c r="P270" i="7"/>
  <c r="P271" i="7"/>
  <c r="P272" i="7"/>
  <c r="P273" i="7"/>
  <c r="P274" i="7"/>
  <c r="P275" i="7"/>
  <c r="P276" i="7"/>
  <c r="P277" i="7"/>
  <c r="P278" i="7"/>
  <c r="P279" i="7"/>
  <c r="P280" i="7"/>
  <c r="P281" i="7"/>
  <c r="P282" i="7"/>
  <c r="P20" i="7" l="1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104" i="7"/>
  <c r="P105" i="7"/>
  <c r="P106" i="7"/>
  <c r="P107" i="7"/>
  <c r="P108" i="7"/>
  <c r="P109" i="7"/>
  <c r="P110" i="7"/>
  <c r="P111" i="7"/>
  <c r="P112" i="7"/>
  <c r="P113" i="7"/>
  <c r="P114" i="7"/>
  <c r="P115" i="7"/>
  <c r="P116" i="7"/>
  <c r="P117" i="7"/>
  <c r="P118" i="7"/>
  <c r="P119" i="7"/>
  <c r="P120" i="7"/>
  <c r="P121" i="7"/>
  <c r="P122" i="7"/>
  <c r="P123" i="7"/>
  <c r="P124" i="7"/>
  <c r="P125" i="7"/>
  <c r="P126" i="7"/>
  <c r="P127" i="7"/>
  <c r="P128" i="7"/>
  <c r="P129" i="7"/>
  <c r="P130" i="7"/>
  <c r="P131" i="7"/>
  <c r="P132" i="7"/>
  <c r="P133" i="7"/>
  <c r="P134" i="7"/>
  <c r="P135" i="7"/>
  <c r="P136" i="7"/>
  <c r="P137" i="7"/>
  <c r="P138" i="7"/>
  <c r="P139" i="7"/>
  <c r="P140" i="7"/>
  <c r="P141" i="7"/>
  <c r="P142" i="7"/>
  <c r="P143" i="7"/>
  <c r="P144" i="7"/>
  <c r="P145" i="7"/>
  <c r="P146" i="7"/>
  <c r="P147" i="7"/>
  <c r="P148" i="7"/>
  <c r="P149" i="7"/>
  <c r="P150" i="7"/>
  <c r="P151" i="7"/>
  <c r="P152" i="7"/>
  <c r="P153" i="7"/>
  <c r="P154" i="7"/>
  <c r="P155" i="7"/>
  <c r="P156" i="7"/>
  <c r="P157" i="7"/>
  <c r="P158" i="7"/>
  <c r="P159" i="7"/>
  <c r="P160" i="7"/>
  <c r="P161" i="7"/>
  <c r="P162" i="7"/>
  <c r="P163" i="7"/>
  <c r="P164" i="7"/>
  <c r="P165" i="7"/>
  <c r="P166" i="7"/>
  <c r="P167" i="7"/>
  <c r="P168" i="7"/>
  <c r="P169" i="7"/>
  <c r="P170" i="7"/>
  <c r="P171" i="7"/>
  <c r="P172" i="7"/>
  <c r="P173" i="7"/>
  <c r="P174" i="7"/>
  <c r="P175" i="7"/>
  <c r="P176" i="7"/>
  <c r="P177" i="7"/>
  <c r="P178" i="7"/>
  <c r="P179" i="7"/>
  <c r="P180" i="7"/>
  <c r="P181" i="7"/>
  <c r="P182" i="7"/>
  <c r="P183" i="7"/>
  <c r="P184" i="7"/>
  <c r="P185" i="7"/>
  <c r="P186" i="7"/>
  <c r="P187" i="7"/>
  <c r="P188" i="7"/>
  <c r="P189" i="7"/>
  <c r="P190" i="7"/>
  <c r="P191" i="7"/>
  <c r="P192" i="7"/>
  <c r="P193" i="7"/>
  <c r="P194" i="7"/>
  <c r="P195" i="7"/>
  <c r="P196" i="7"/>
  <c r="P197" i="7"/>
  <c r="P198" i="7"/>
  <c r="P199" i="7"/>
  <c r="P200" i="7"/>
  <c r="P201" i="7"/>
  <c r="P202" i="7"/>
  <c r="P203" i="7"/>
  <c r="P204" i="7"/>
  <c r="P205" i="7"/>
  <c r="P206" i="7"/>
  <c r="P207" i="7"/>
  <c r="P208" i="7"/>
  <c r="P209" i="7"/>
  <c r="P210" i="7"/>
  <c r="P211" i="7"/>
  <c r="P212" i="7"/>
  <c r="P213" i="7"/>
  <c r="P214" i="7"/>
  <c r="P215" i="7"/>
  <c r="F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P17" i="7"/>
  <c r="P18" i="7"/>
  <c r="P19" i="7"/>
  <c r="T18" i="7"/>
  <c r="U18" i="7"/>
  <c r="V18" i="7"/>
  <c r="T19" i="7"/>
  <c r="U19" i="7"/>
  <c r="V19" i="7"/>
  <c r="T20" i="7"/>
  <c r="U20" i="7"/>
  <c r="V20" i="7"/>
  <c r="T21" i="7"/>
  <c r="U21" i="7"/>
  <c r="V21" i="7"/>
  <c r="T22" i="7"/>
  <c r="U22" i="7"/>
  <c r="V22" i="7"/>
  <c r="T23" i="7"/>
  <c r="U23" i="7"/>
  <c r="V23" i="7"/>
  <c r="T24" i="7"/>
  <c r="U24" i="7"/>
  <c r="V24" i="7"/>
  <c r="T25" i="7"/>
  <c r="U25" i="7"/>
  <c r="V25" i="7"/>
  <c r="T26" i="7"/>
  <c r="U26" i="7"/>
  <c r="V26" i="7"/>
  <c r="T27" i="7"/>
  <c r="U27" i="7"/>
  <c r="V27" i="7"/>
  <c r="T28" i="7"/>
  <c r="U28" i="7"/>
  <c r="V28" i="7"/>
  <c r="T29" i="7"/>
  <c r="U29" i="7"/>
  <c r="V29" i="7"/>
  <c r="T30" i="7"/>
  <c r="U30" i="7"/>
  <c r="V30" i="7"/>
  <c r="T31" i="7"/>
  <c r="U31" i="7"/>
  <c r="V31" i="7"/>
  <c r="T32" i="7"/>
  <c r="U32" i="7"/>
  <c r="V32" i="7"/>
  <c r="T33" i="7"/>
  <c r="U33" i="7"/>
  <c r="V33" i="7"/>
  <c r="T34" i="7"/>
  <c r="U34" i="7"/>
  <c r="V34" i="7"/>
  <c r="T35" i="7"/>
  <c r="U35" i="7"/>
  <c r="V35" i="7"/>
  <c r="T36" i="7"/>
  <c r="U36" i="7"/>
  <c r="V36" i="7"/>
  <c r="T37" i="7"/>
  <c r="U37" i="7"/>
  <c r="V37" i="7"/>
  <c r="T38" i="7"/>
  <c r="U38" i="7"/>
  <c r="V38" i="7"/>
  <c r="T39" i="7"/>
  <c r="U39" i="7"/>
  <c r="V39" i="7"/>
  <c r="T40" i="7"/>
  <c r="U40" i="7"/>
  <c r="V40" i="7"/>
  <c r="T41" i="7"/>
  <c r="U41" i="7"/>
  <c r="V41" i="7"/>
  <c r="T42" i="7"/>
  <c r="U42" i="7"/>
  <c r="V42" i="7"/>
  <c r="T43" i="7"/>
  <c r="U43" i="7"/>
  <c r="V43" i="7"/>
  <c r="T44" i="7"/>
  <c r="U44" i="7"/>
  <c r="V44" i="7"/>
  <c r="T45" i="7"/>
  <c r="U45" i="7"/>
  <c r="V45" i="7"/>
  <c r="T46" i="7"/>
  <c r="U46" i="7"/>
  <c r="V46" i="7"/>
  <c r="T47" i="7"/>
  <c r="U47" i="7"/>
  <c r="V47" i="7"/>
  <c r="T48" i="7"/>
  <c r="U48" i="7"/>
  <c r="V48" i="7"/>
  <c r="T49" i="7"/>
  <c r="U49" i="7"/>
  <c r="V49" i="7"/>
  <c r="T50" i="7"/>
  <c r="U50" i="7"/>
  <c r="V50" i="7"/>
  <c r="T51" i="7"/>
  <c r="U51" i="7"/>
  <c r="V51" i="7"/>
  <c r="T52" i="7"/>
  <c r="U52" i="7"/>
  <c r="V52" i="7"/>
  <c r="T53" i="7"/>
  <c r="U53" i="7"/>
  <c r="V53" i="7"/>
  <c r="T54" i="7"/>
  <c r="U54" i="7"/>
  <c r="V54" i="7"/>
  <c r="T55" i="7"/>
  <c r="U55" i="7"/>
  <c r="V55" i="7"/>
  <c r="T56" i="7"/>
  <c r="U56" i="7"/>
  <c r="V56" i="7"/>
  <c r="T57" i="7"/>
  <c r="U57" i="7"/>
  <c r="V57" i="7"/>
  <c r="T58" i="7"/>
  <c r="U58" i="7"/>
  <c r="V58" i="7"/>
  <c r="T59" i="7"/>
  <c r="U59" i="7"/>
  <c r="V59" i="7"/>
  <c r="T60" i="7"/>
  <c r="U60" i="7"/>
  <c r="V60" i="7"/>
  <c r="T61" i="7"/>
  <c r="U61" i="7"/>
  <c r="V61" i="7"/>
  <c r="T62" i="7"/>
  <c r="U62" i="7"/>
  <c r="V62" i="7"/>
  <c r="T63" i="7"/>
  <c r="U63" i="7"/>
  <c r="V63" i="7"/>
  <c r="T64" i="7"/>
  <c r="U64" i="7"/>
  <c r="V64" i="7"/>
  <c r="T65" i="7"/>
  <c r="U65" i="7"/>
  <c r="V65" i="7"/>
  <c r="T66" i="7"/>
  <c r="U66" i="7"/>
  <c r="V66" i="7"/>
  <c r="T67" i="7"/>
  <c r="U67" i="7"/>
  <c r="V67" i="7"/>
  <c r="T68" i="7"/>
  <c r="U68" i="7"/>
  <c r="V68" i="7"/>
  <c r="T69" i="7"/>
  <c r="U69" i="7"/>
  <c r="V69" i="7"/>
  <c r="T70" i="7"/>
  <c r="U70" i="7"/>
  <c r="V70" i="7"/>
  <c r="T71" i="7"/>
  <c r="U71" i="7"/>
  <c r="V71" i="7"/>
  <c r="T72" i="7"/>
  <c r="U72" i="7"/>
  <c r="V72" i="7"/>
  <c r="T73" i="7"/>
  <c r="U73" i="7"/>
  <c r="V73" i="7"/>
  <c r="T74" i="7"/>
  <c r="U74" i="7"/>
  <c r="V74" i="7"/>
  <c r="T75" i="7"/>
  <c r="U75" i="7"/>
  <c r="V75" i="7"/>
  <c r="T76" i="7"/>
  <c r="U76" i="7"/>
  <c r="V76" i="7"/>
  <c r="T77" i="7"/>
  <c r="U77" i="7"/>
  <c r="V77" i="7"/>
  <c r="T78" i="7"/>
  <c r="U78" i="7"/>
  <c r="V78" i="7"/>
  <c r="T79" i="7"/>
  <c r="U79" i="7"/>
  <c r="V79" i="7"/>
  <c r="T80" i="7"/>
  <c r="U80" i="7"/>
  <c r="V80" i="7"/>
  <c r="T81" i="7"/>
  <c r="U81" i="7"/>
  <c r="V81" i="7"/>
  <c r="T82" i="7"/>
  <c r="U82" i="7"/>
  <c r="V82" i="7"/>
  <c r="T83" i="7"/>
  <c r="U83" i="7"/>
  <c r="V83" i="7"/>
  <c r="T84" i="7"/>
  <c r="U84" i="7"/>
  <c r="V84" i="7"/>
  <c r="T85" i="7"/>
  <c r="U85" i="7"/>
  <c r="V85" i="7"/>
  <c r="T86" i="7"/>
  <c r="U86" i="7"/>
  <c r="V86" i="7"/>
  <c r="T87" i="7"/>
  <c r="U87" i="7"/>
  <c r="V87" i="7"/>
  <c r="T88" i="7"/>
  <c r="U88" i="7"/>
  <c r="V88" i="7"/>
  <c r="T89" i="7"/>
  <c r="U89" i="7"/>
  <c r="V89" i="7"/>
  <c r="T90" i="7"/>
  <c r="U90" i="7"/>
  <c r="V90" i="7"/>
  <c r="T91" i="7"/>
  <c r="U91" i="7"/>
  <c r="V91" i="7"/>
  <c r="T92" i="7"/>
  <c r="U92" i="7"/>
  <c r="V92" i="7"/>
  <c r="T93" i="7"/>
  <c r="U93" i="7"/>
  <c r="V93" i="7"/>
  <c r="T94" i="7"/>
  <c r="U94" i="7"/>
  <c r="V94" i="7"/>
  <c r="T95" i="7"/>
  <c r="U95" i="7"/>
  <c r="V95" i="7"/>
  <c r="T96" i="7"/>
  <c r="U96" i="7"/>
  <c r="V96" i="7"/>
  <c r="T97" i="7"/>
  <c r="U97" i="7"/>
  <c r="V97" i="7"/>
  <c r="T98" i="7"/>
  <c r="U98" i="7"/>
  <c r="V98" i="7"/>
  <c r="T99" i="7"/>
  <c r="U99" i="7"/>
  <c r="V99" i="7"/>
  <c r="T100" i="7"/>
  <c r="U100" i="7"/>
  <c r="V100" i="7"/>
  <c r="T101" i="7"/>
  <c r="U101" i="7"/>
  <c r="V101" i="7"/>
  <c r="T102" i="7"/>
  <c r="U102" i="7"/>
  <c r="V102" i="7"/>
  <c r="T103" i="7"/>
  <c r="U103" i="7"/>
  <c r="V103" i="7"/>
  <c r="T104" i="7"/>
  <c r="U104" i="7"/>
  <c r="V104" i="7"/>
  <c r="T105" i="7"/>
  <c r="U105" i="7"/>
  <c r="V105" i="7"/>
  <c r="T106" i="7"/>
  <c r="U106" i="7"/>
  <c r="V106" i="7"/>
  <c r="T107" i="7"/>
  <c r="U107" i="7"/>
  <c r="V107" i="7"/>
  <c r="T108" i="7"/>
  <c r="U108" i="7"/>
  <c r="V108" i="7"/>
  <c r="T109" i="7"/>
  <c r="U109" i="7"/>
  <c r="V109" i="7"/>
  <c r="T110" i="7"/>
  <c r="U110" i="7"/>
  <c r="V110" i="7"/>
  <c r="T111" i="7"/>
  <c r="U111" i="7"/>
  <c r="V111" i="7"/>
  <c r="T112" i="7"/>
  <c r="U112" i="7"/>
  <c r="V112" i="7"/>
  <c r="T113" i="7"/>
  <c r="U113" i="7"/>
  <c r="V113" i="7"/>
  <c r="T114" i="7"/>
  <c r="U114" i="7"/>
  <c r="V114" i="7"/>
  <c r="T115" i="7"/>
  <c r="U115" i="7"/>
  <c r="V115" i="7"/>
  <c r="T116" i="7"/>
  <c r="U116" i="7"/>
  <c r="V116" i="7"/>
  <c r="T117" i="7"/>
  <c r="U117" i="7"/>
  <c r="V117" i="7"/>
  <c r="T118" i="7"/>
  <c r="U118" i="7"/>
  <c r="V118" i="7"/>
  <c r="T119" i="7"/>
  <c r="U119" i="7"/>
  <c r="V119" i="7"/>
  <c r="T120" i="7"/>
  <c r="U120" i="7"/>
  <c r="V120" i="7"/>
  <c r="T121" i="7"/>
  <c r="U121" i="7"/>
  <c r="V121" i="7"/>
  <c r="T122" i="7"/>
  <c r="U122" i="7"/>
  <c r="V122" i="7"/>
  <c r="T123" i="7"/>
  <c r="U123" i="7"/>
  <c r="V123" i="7"/>
  <c r="T124" i="7"/>
  <c r="U124" i="7"/>
  <c r="V124" i="7"/>
  <c r="T125" i="7"/>
  <c r="U125" i="7"/>
  <c r="V125" i="7"/>
  <c r="T126" i="7"/>
  <c r="U126" i="7"/>
  <c r="V126" i="7"/>
  <c r="T127" i="7"/>
  <c r="U127" i="7"/>
  <c r="V127" i="7"/>
  <c r="T128" i="7"/>
  <c r="U128" i="7"/>
  <c r="V128" i="7"/>
  <c r="T129" i="7"/>
  <c r="U129" i="7"/>
  <c r="V129" i="7"/>
  <c r="T130" i="7"/>
  <c r="U130" i="7"/>
  <c r="V130" i="7"/>
  <c r="T131" i="7"/>
  <c r="U131" i="7"/>
  <c r="V131" i="7"/>
  <c r="T132" i="7"/>
  <c r="U132" i="7"/>
  <c r="V132" i="7"/>
  <c r="T133" i="7"/>
  <c r="U133" i="7"/>
  <c r="V133" i="7"/>
  <c r="T134" i="7"/>
  <c r="U134" i="7"/>
  <c r="V134" i="7"/>
  <c r="T135" i="7"/>
  <c r="U135" i="7"/>
  <c r="V135" i="7"/>
  <c r="T136" i="7"/>
  <c r="U136" i="7"/>
  <c r="V136" i="7"/>
  <c r="T137" i="7"/>
  <c r="U137" i="7"/>
  <c r="V137" i="7"/>
  <c r="T138" i="7"/>
  <c r="U138" i="7"/>
  <c r="V138" i="7"/>
  <c r="T139" i="7"/>
  <c r="U139" i="7"/>
  <c r="V139" i="7"/>
  <c r="T140" i="7"/>
  <c r="U140" i="7"/>
  <c r="V140" i="7"/>
  <c r="T141" i="7"/>
  <c r="U141" i="7"/>
  <c r="V141" i="7"/>
  <c r="T142" i="7"/>
  <c r="U142" i="7"/>
  <c r="V142" i="7"/>
  <c r="T143" i="7"/>
  <c r="U143" i="7"/>
  <c r="V143" i="7"/>
  <c r="T144" i="7"/>
  <c r="U144" i="7"/>
  <c r="V144" i="7"/>
  <c r="T145" i="7"/>
  <c r="U145" i="7"/>
  <c r="V145" i="7"/>
  <c r="T146" i="7"/>
  <c r="U146" i="7"/>
  <c r="V146" i="7"/>
  <c r="T147" i="7"/>
  <c r="U147" i="7"/>
  <c r="V147" i="7"/>
  <c r="T148" i="7"/>
  <c r="U148" i="7"/>
  <c r="V148" i="7"/>
  <c r="T149" i="7"/>
  <c r="U149" i="7"/>
  <c r="V149" i="7"/>
  <c r="T150" i="7"/>
  <c r="U150" i="7"/>
  <c r="V150" i="7"/>
  <c r="T151" i="7"/>
  <c r="U151" i="7"/>
  <c r="V151" i="7"/>
  <c r="T152" i="7"/>
  <c r="U152" i="7"/>
  <c r="V152" i="7"/>
  <c r="T153" i="7"/>
  <c r="U153" i="7"/>
  <c r="V153" i="7"/>
  <c r="T154" i="7"/>
  <c r="U154" i="7"/>
  <c r="V154" i="7"/>
  <c r="T155" i="7"/>
  <c r="U155" i="7"/>
  <c r="V155" i="7"/>
  <c r="T156" i="7"/>
  <c r="U156" i="7"/>
  <c r="V156" i="7"/>
  <c r="T157" i="7"/>
  <c r="U157" i="7"/>
  <c r="V157" i="7"/>
  <c r="T158" i="7"/>
  <c r="U158" i="7"/>
  <c r="V158" i="7"/>
  <c r="T159" i="7"/>
  <c r="U159" i="7"/>
  <c r="V159" i="7"/>
  <c r="T160" i="7"/>
  <c r="U160" i="7"/>
  <c r="V160" i="7"/>
  <c r="T161" i="7"/>
  <c r="U161" i="7"/>
  <c r="V161" i="7"/>
  <c r="T162" i="7"/>
  <c r="U162" i="7"/>
  <c r="V162" i="7"/>
  <c r="T163" i="7"/>
  <c r="U163" i="7"/>
  <c r="V163" i="7"/>
  <c r="T164" i="7"/>
  <c r="U164" i="7"/>
  <c r="V164" i="7"/>
  <c r="T165" i="7"/>
  <c r="U165" i="7"/>
  <c r="V165" i="7"/>
  <c r="T166" i="7"/>
  <c r="U166" i="7"/>
  <c r="V166" i="7"/>
  <c r="T167" i="7"/>
  <c r="U167" i="7"/>
  <c r="V167" i="7"/>
  <c r="T168" i="7"/>
  <c r="U168" i="7"/>
  <c r="V168" i="7"/>
  <c r="T169" i="7"/>
  <c r="U169" i="7"/>
  <c r="V169" i="7"/>
  <c r="T170" i="7"/>
  <c r="U170" i="7"/>
  <c r="V170" i="7"/>
  <c r="T171" i="7"/>
  <c r="U171" i="7"/>
  <c r="V171" i="7"/>
  <c r="T172" i="7"/>
  <c r="U172" i="7"/>
  <c r="V172" i="7"/>
  <c r="T173" i="7"/>
  <c r="U173" i="7"/>
  <c r="V173" i="7"/>
  <c r="T174" i="7"/>
  <c r="U174" i="7"/>
  <c r="V174" i="7"/>
  <c r="T175" i="7"/>
  <c r="U175" i="7"/>
  <c r="V175" i="7"/>
  <c r="T176" i="7"/>
  <c r="U176" i="7"/>
  <c r="V176" i="7"/>
  <c r="T177" i="7"/>
  <c r="U177" i="7"/>
  <c r="V177" i="7"/>
  <c r="T178" i="7"/>
  <c r="U178" i="7"/>
  <c r="V178" i="7"/>
  <c r="T179" i="7"/>
  <c r="U179" i="7"/>
  <c r="V179" i="7"/>
  <c r="T180" i="7"/>
  <c r="U180" i="7"/>
  <c r="V180" i="7"/>
  <c r="T181" i="7"/>
  <c r="U181" i="7"/>
  <c r="V181" i="7"/>
  <c r="T182" i="7"/>
  <c r="U182" i="7"/>
  <c r="V182" i="7"/>
  <c r="T183" i="7"/>
  <c r="U183" i="7"/>
  <c r="V183" i="7"/>
  <c r="T184" i="7"/>
  <c r="U184" i="7"/>
  <c r="V184" i="7"/>
  <c r="T185" i="7"/>
  <c r="U185" i="7"/>
  <c r="V185" i="7"/>
  <c r="T186" i="7"/>
  <c r="U186" i="7"/>
  <c r="V186" i="7"/>
  <c r="T187" i="7"/>
  <c r="U187" i="7"/>
  <c r="V187" i="7"/>
  <c r="T188" i="7"/>
  <c r="U188" i="7"/>
  <c r="V188" i="7"/>
  <c r="T189" i="7"/>
  <c r="U189" i="7"/>
  <c r="V189" i="7"/>
  <c r="T190" i="7"/>
  <c r="U190" i="7"/>
  <c r="V190" i="7"/>
  <c r="T191" i="7"/>
  <c r="U191" i="7"/>
  <c r="V191" i="7"/>
  <c r="T192" i="7"/>
  <c r="U192" i="7"/>
  <c r="V192" i="7"/>
  <c r="T193" i="7"/>
  <c r="U193" i="7"/>
  <c r="V193" i="7"/>
  <c r="T194" i="7"/>
  <c r="U194" i="7"/>
  <c r="V194" i="7"/>
  <c r="T195" i="7"/>
  <c r="U195" i="7"/>
  <c r="V195" i="7"/>
  <c r="T196" i="7"/>
  <c r="U196" i="7"/>
  <c r="V196" i="7"/>
  <c r="T197" i="7"/>
  <c r="U197" i="7"/>
  <c r="V197" i="7"/>
  <c r="T198" i="7"/>
  <c r="U198" i="7"/>
  <c r="V198" i="7"/>
  <c r="T199" i="7"/>
  <c r="U199" i="7"/>
  <c r="V199" i="7"/>
  <c r="T200" i="7"/>
  <c r="U200" i="7"/>
  <c r="V200" i="7"/>
  <c r="T201" i="7"/>
  <c r="U201" i="7"/>
  <c r="V201" i="7"/>
  <c r="T202" i="7"/>
  <c r="U202" i="7"/>
  <c r="V202" i="7"/>
  <c r="T203" i="7"/>
  <c r="U203" i="7"/>
  <c r="V203" i="7"/>
  <c r="T204" i="7"/>
  <c r="U204" i="7"/>
  <c r="V204" i="7"/>
  <c r="T205" i="7"/>
  <c r="U205" i="7"/>
  <c r="V205" i="7"/>
  <c r="T206" i="7"/>
  <c r="U206" i="7"/>
  <c r="V206" i="7"/>
  <c r="T207" i="7"/>
  <c r="U207" i="7"/>
  <c r="V207" i="7"/>
  <c r="T208" i="7"/>
  <c r="U208" i="7"/>
  <c r="V208" i="7"/>
  <c r="T209" i="7"/>
  <c r="U209" i="7"/>
  <c r="V209" i="7"/>
  <c r="T210" i="7"/>
  <c r="U210" i="7"/>
  <c r="V210" i="7"/>
  <c r="T211" i="7"/>
  <c r="U211" i="7"/>
  <c r="V211" i="7"/>
  <c r="T212" i="7"/>
  <c r="U212" i="7"/>
  <c r="V212" i="7"/>
  <c r="T213" i="7"/>
  <c r="U213" i="7"/>
  <c r="V213" i="7"/>
  <c r="T214" i="7"/>
  <c r="V214" i="7"/>
  <c r="T215" i="7"/>
  <c r="V215" i="7"/>
  <c r="T17" i="7"/>
  <c r="Q18" i="7"/>
  <c r="R18" i="7"/>
  <c r="S18" i="7"/>
  <c r="W18" i="7"/>
  <c r="Q19" i="7"/>
  <c r="R19" i="7"/>
  <c r="S19" i="7"/>
  <c r="W19" i="7"/>
  <c r="Q20" i="7"/>
  <c r="R20" i="7"/>
  <c r="S20" i="7"/>
  <c r="W20" i="7"/>
  <c r="Q21" i="7"/>
  <c r="R21" i="7"/>
  <c r="S21" i="7"/>
  <c r="W21" i="7"/>
  <c r="Q22" i="7"/>
  <c r="R22" i="7"/>
  <c r="S22" i="7"/>
  <c r="W22" i="7"/>
  <c r="Q23" i="7"/>
  <c r="R23" i="7"/>
  <c r="S23" i="7"/>
  <c r="W23" i="7"/>
  <c r="Q24" i="7"/>
  <c r="R24" i="7"/>
  <c r="S24" i="7"/>
  <c r="W24" i="7"/>
  <c r="Q25" i="7"/>
  <c r="R25" i="7"/>
  <c r="S25" i="7"/>
  <c r="W25" i="7"/>
  <c r="Q26" i="7"/>
  <c r="R26" i="7"/>
  <c r="S26" i="7"/>
  <c r="W26" i="7"/>
  <c r="Q27" i="7"/>
  <c r="R27" i="7"/>
  <c r="S27" i="7"/>
  <c r="W27" i="7"/>
  <c r="Q28" i="7"/>
  <c r="R28" i="7"/>
  <c r="S28" i="7"/>
  <c r="W28" i="7"/>
  <c r="Q29" i="7"/>
  <c r="R29" i="7"/>
  <c r="S29" i="7"/>
  <c r="W29" i="7"/>
  <c r="Q30" i="7"/>
  <c r="R30" i="7"/>
  <c r="S30" i="7"/>
  <c r="W30" i="7"/>
  <c r="Q31" i="7"/>
  <c r="R31" i="7"/>
  <c r="S31" i="7"/>
  <c r="W31" i="7"/>
  <c r="Q32" i="7"/>
  <c r="R32" i="7"/>
  <c r="S32" i="7"/>
  <c r="W32" i="7"/>
  <c r="Q33" i="7"/>
  <c r="R33" i="7"/>
  <c r="S33" i="7"/>
  <c r="W33" i="7"/>
  <c r="Q34" i="7"/>
  <c r="R34" i="7"/>
  <c r="S34" i="7"/>
  <c r="W34" i="7"/>
  <c r="Q35" i="7"/>
  <c r="R35" i="7"/>
  <c r="S35" i="7"/>
  <c r="W35" i="7"/>
  <c r="Q36" i="7"/>
  <c r="R36" i="7"/>
  <c r="S36" i="7"/>
  <c r="W36" i="7"/>
  <c r="Q37" i="7"/>
  <c r="R37" i="7"/>
  <c r="S37" i="7"/>
  <c r="W37" i="7"/>
  <c r="Q38" i="7"/>
  <c r="R38" i="7"/>
  <c r="S38" i="7"/>
  <c r="W38" i="7"/>
  <c r="Q39" i="7"/>
  <c r="R39" i="7"/>
  <c r="S39" i="7"/>
  <c r="W39" i="7"/>
  <c r="Q40" i="7"/>
  <c r="R40" i="7"/>
  <c r="S40" i="7"/>
  <c r="W40" i="7"/>
  <c r="Q41" i="7"/>
  <c r="R41" i="7"/>
  <c r="S41" i="7"/>
  <c r="W41" i="7"/>
  <c r="Q42" i="7"/>
  <c r="R42" i="7"/>
  <c r="S42" i="7"/>
  <c r="W42" i="7"/>
  <c r="Q43" i="7"/>
  <c r="R43" i="7"/>
  <c r="S43" i="7"/>
  <c r="W43" i="7"/>
  <c r="Q44" i="7"/>
  <c r="R44" i="7"/>
  <c r="S44" i="7"/>
  <c r="W44" i="7"/>
  <c r="Q45" i="7"/>
  <c r="R45" i="7"/>
  <c r="S45" i="7"/>
  <c r="W45" i="7"/>
  <c r="Q46" i="7"/>
  <c r="R46" i="7"/>
  <c r="S46" i="7"/>
  <c r="W46" i="7"/>
  <c r="Q47" i="7"/>
  <c r="R47" i="7"/>
  <c r="S47" i="7"/>
  <c r="W47" i="7"/>
  <c r="Q48" i="7"/>
  <c r="R48" i="7"/>
  <c r="S48" i="7"/>
  <c r="W48" i="7"/>
  <c r="Q49" i="7"/>
  <c r="R49" i="7"/>
  <c r="S49" i="7"/>
  <c r="W49" i="7"/>
  <c r="Q50" i="7"/>
  <c r="R50" i="7"/>
  <c r="S50" i="7"/>
  <c r="W50" i="7"/>
  <c r="Q51" i="7"/>
  <c r="R51" i="7"/>
  <c r="S51" i="7"/>
  <c r="W51" i="7"/>
  <c r="Q52" i="7"/>
  <c r="R52" i="7"/>
  <c r="S52" i="7"/>
  <c r="W52" i="7"/>
  <c r="Q53" i="7"/>
  <c r="R53" i="7"/>
  <c r="S53" i="7"/>
  <c r="W53" i="7"/>
  <c r="Q54" i="7"/>
  <c r="R54" i="7"/>
  <c r="S54" i="7"/>
  <c r="W54" i="7"/>
  <c r="Q55" i="7"/>
  <c r="R55" i="7"/>
  <c r="S55" i="7"/>
  <c r="W55" i="7"/>
  <c r="Q56" i="7"/>
  <c r="R56" i="7"/>
  <c r="S56" i="7"/>
  <c r="W56" i="7"/>
  <c r="Q57" i="7"/>
  <c r="R57" i="7"/>
  <c r="S57" i="7"/>
  <c r="W57" i="7"/>
  <c r="Q58" i="7"/>
  <c r="R58" i="7"/>
  <c r="S58" i="7"/>
  <c r="W58" i="7"/>
  <c r="Q59" i="7"/>
  <c r="R59" i="7"/>
  <c r="S59" i="7"/>
  <c r="W59" i="7"/>
  <c r="Q60" i="7"/>
  <c r="R60" i="7"/>
  <c r="S60" i="7"/>
  <c r="W60" i="7"/>
  <c r="Q61" i="7"/>
  <c r="R61" i="7"/>
  <c r="S61" i="7"/>
  <c r="W61" i="7"/>
  <c r="Q62" i="7"/>
  <c r="R62" i="7"/>
  <c r="S62" i="7"/>
  <c r="W62" i="7"/>
  <c r="Q63" i="7"/>
  <c r="R63" i="7"/>
  <c r="S63" i="7"/>
  <c r="W63" i="7"/>
  <c r="Q64" i="7"/>
  <c r="R64" i="7"/>
  <c r="S64" i="7"/>
  <c r="W64" i="7"/>
  <c r="Q65" i="7"/>
  <c r="R65" i="7"/>
  <c r="S65" i="7"/>
  <c r="W65" i="7"/>
  <c r="Q66" i="7"/>
  <c r="R66" i="7"/>
  <c r="S66" i="7"/>
  <c r="W66" i="7"/>
  <c r="Q67" i="7"/>
  <c r="R67" i="7"/>
  <c r="S67" i="7"/>
  <c r="W67" i="7"/>
  <c r="Q68" i="7"/>
  <c r="R68" i="7"/>
  <c r="S68" i="7"/>
  <c r="W68" i="7"/>
  <c r="Q69" i="7"/>
  <c r="R69" i="7"/>
  <c r="S69" i="7"/>
  <c r="W69" i="7"/>
  <c r="Q70" i="7"/>
  <c r="R70" i="7"/>
  <c r="S70" i="7"/>
  <c r="W70" i="7"/>
  <c r="Q71" i="7"/>
  <c r="R71" i="7"/>
  <c r="S71" i="7"/>
  <c r="W71" i="7"/>
  <c r="Q72" i="7"/>
  <c r="R72" i="7"/>
  <c r="S72" i="7"/>
  <c r="W72" i="7"/>
  <c r="Q73" i="7"/>
  <c r="R73" i="7"/>
  <c r="S73" i="7"/>
  <c r="W73" i="7"/>
  <c r="Q74" i="7"/>
  <c r="R74" i="7"/>
  <c r="S74" i="7"/>
  <c r="W74" i="7"/>
  <c r="Q75" i="7"/>
  <c r="R75" i="7"/>
  <c r="S75" i="7"/>
  <c r="W75" i="7"/>
  <c r="Q76" i="7"/>
  <c r="R76" i="7"/>
  <c r="S76" i="7"/>
  <c r="W76" i="7"/>
  <c r="Q77" i="7"/>
  <c r="R77" i="7"/>
  <c r="S77" i="7"/>
  <c r="W77" i="7"/>
  <c r="Q78" i="7"/>
  <c r="R78" i="7"/>
  <c r="S78" i="7"/>
  <c r="W78" i="7"/>
  <c r="Q79" i="7"/>
  <c r="R79" i="7"/>
  <c r="S79" i="7"/>
  <c r="W79" i="7"/>
  <c r="Q80" i="7"/>
  <c r="R80" i="7"/>
  <c r="S80" i="7"/>
  <c r="W80" i="7"/>
  <c r="Q81" i="7"/>
  <c r="R81" i="7"/>
  <c r="S81" i="7"/>
  <c r="W81" i="7"/>
  <c r="Q82" i="7"/>
  <c r="R82" i="7"/>
  <c r="S82" i="7"/>
  <c r="W82" i="7"/>
  <c r="Q83" i="7"/>
  <c r="R83" i="7"/>
  <c r="S83" i="7"/>
  <c r="W83" i="7"/>
  <c r="Q84" i="7"/>
  <c r="R84" i="7"/>
  <c r="S84" i="7"/>
  <c r="W84" i="7"/>
  <c r="Q85" i="7"/>
  <c r="R85" i="7"/>
  <c r="S85" i="7"/>
  <c r="W85" i="7"/>
  <c r="Q86" i="7"/>
  <c r="R86" i="7"/>
  <c r="S86" i="7"/>
  <c r="W86" i="7"/>
  <c r="Q87" i="7"/>
  <c r="R87" i="7"/>
  <c r="S87" i="7"/>
  <c r="W87" i="7"/>
  <c r="Q88" i="7"/>
  <c r="R88" i="7"/>
  <c r="S88" i="7"/>
  <c r="W88" i="7"/>
  <c r="Q89" i="7"/>
  <c r="R89" i="7"/>
  <c r="S89" i="7"/>
  <c r="W89" i="7"/>
  <c r="Q90" i="7"/>
  <c r="R90" i="7"/>
  <c r="S90" i="7"/>
  <c r="W90" i="7"/>
  <c r="Q91" i="7"/>
  <c r="R91" i="7"/>
  <c r="S91" i="7"/>
  <c r="W91" i="7"/>
  <c r="Q92" i="7"/>
  <c r="R92" i="7"/>
  <c r="S92" i="7"/>
  <c r="W92" i="7"/>
  <c r="Q93" i="7"/>
  <c r="R93" i="7"/>
  <c r="S93" i="7"/>
  <c r="W93" i="7"/>
  <c r="Q94" i="7"/>
  <c r="R94" i="7"/>
  <c r="S94" i="7"/>
  <c r="W94" i="7"/>
  <c r="Q95" i="7"/>
  <c r="R95" i="7"/>
  <c r="S95" i="7"/>
  <c r="W95" i="7"/>
  <c r="Q96" i="7"/>
  <c r="R96" i="7"/>
  <c r="S96" i="7"/>
  <c r="W96" i="7"/>
  <c r="Q97" i="7"/>
  <c r="R97" i="7"/>
  <c r="S97" i="7"/>
  <c r="W97" i="7"/>
  <c r="Q98" i="7"/>
  <c r="R98" i="7"/>
  <c r="S98" i="7"/>
  <c r="W98" i="7"/>
  <c r="Q99" i="7"/>
  <c r="R99" i="7"/>
  <c r="S99" i="7"/>
  <c r="W99" i="7"/>
  <c r="Q100" i="7"/>
  <c r="R100" i="7"/>
  <c r="S100" i="7"/>
  <c r="W100" i="7"/>
  <c r="Q101" i="7"/>
  <c r="R101" i="7"/>
  <c r="S101" i="7"/>
  <c r="W101" i="7"/>
  <c r="Q102" i="7"/>
  <c r="R102" i="7"/>
  <c r="S102" i="7"/>
  <c r="W102" i="7"/>
  <c r="Q103" i="7"/>
  <c r="R103" i="7"/>
  <c r="S103" i="7"/>
  <c r="W103" i="7"/>
  <c r="Q104" i="7"/>
  <c r="R104" i="7"/>
  <c r="S104" i="7"/>
  <c r="W104" i="7"/>
  <c r="Q105" i="7"/>
  <c r="R105" i="7"/>
  <c r="S105" i="7"/>
  <c r="W105" i="7"/>
  <c r="Q106" i="7"/>
  <c r="R106" i="7"/>
  <c r="S106" i="7"/>
  <c r="W106" i="7"/>
  <c r="Q107" i="7"/>
  <c r="R107" i="7"/>
  <c r="S107" i="7"/>
  <c r="W107" i="7"/>
  <c r="Q108" i="7"/>
  <c r="R108" i="7"/>
  <c r="S108" i="7"/>
  <c r="W108" i="7"/>
  <c r="Q109" i="7"/>
  <c r="R109" i="7"/>
  <c r="S109" i="7"/>
  <c r="W109" i="7"/>
  <c r="Q110" i="7"/>
  <c r="R110" i="7"/>
  <c r="S110" i="7"/>
  <c r="W110" i="7"/>
  <c r="Q111" i="7"/>
  <c r="R111" i="7"/>
  <c r="S111" i="7"/>
  <c r="W111" i="7"/>
  <c r="Q112" i="7"/>
  <c r="R112" i="7"/>
  <c r="S112" i="7"/>
  <c r="W112" i="7"/>
  <c r="Q113" i="7"/>
  <c r="R113" i="7"/>
  <c r="S113" i="7"/>
  <c r="W113" i="7"/>
  <c r="Q114" i="7"/>
  <c r="R114" i="7"/>
  <c r="S114" i="7"/>
  <c r="W114" i="7"/>
  <c r="Q115" i="7"/>
  <c r="R115" i="7"/>
  <c r="S115" i="7"/>
  <c r="W115" i="7"/>
  <c r="Q116" i="7"/>
  <c r="R116" i="7"/>
  <c r="S116" i="7"/>
  <c r="W116" i="7"/>
  <c r="Q117" i="7"/>
  <c r="R117" i="7"/>
  <c r="S117" i="7"/>
  <c r="W117" i="7"/>
  <c r="Q118" i="7"/>
  <c r="R118" i="7"/>
  <c r="S118" i="7"/>
  <c r="W118" i="7"/>
  <c r="Q119" i="7"/>
  <c r="R119" i="7"/>
  <c r="S119" i="7"/>
  <c r="W119" i="7"/>
  <c r="Q120" i="7"/>
  <c r="R120" i="7"/>
  <c r="S120" i="7"/>
  <c r="W120" i="7"/>
  <c r="Q121" i="7"/>
  <c r="R121" i="7"/>
  <c r="S121" i="7"/>
  <c r="W121" i="7"/>
  <c r="Q122" i="7"/>
  <c r="R122" i="7"/>
  <c r="S122" i="7"/>
  <c r="W122" i="7"/>
  <c r="Q123" i="7"/>
  <c r="R123" i="7"/>
  <c r="S123" i="7"/>
  <c r="W123" i="7"/>
  <c r="Q124" i="7"/>
  <c r="R124" i="7"/>
  <c r="S124" i="7"/>
  <c r="W124" i="7"/>
  <c r="Q125" i="7"/>
  <c r="R125" i="7"/>
  <c r="S125" i="7"/>
  <c r="W125" i="7"/>
  <c r="Q126" i="7"/>
  <c r="R126" i="7"/>
  <c r="S126" i="7"/>
  <c r="W126" i="7"/>
  <c r="Q127" i="7"/>
  <c r="R127" i="7"/>
  <c r="S127" i="7"/>
  <c r="W127" i="7"/>
  <c r="Q128" i="7"/>
  <c r="R128" i="7"/>
  <c r="S128" i="7"/>
  <c r="W128" i="7"/>
  <c r="Q129" i="7"/>
  <c r="R129" i="7"/>
  <c r="S129" i="7"/>
  <c r="W129" i="7"/>
  <c r="Q130" i="7"/>
  <c r="R130" i="7"/>
  <c r="S130" i="7"/>
  <c r="W130" i="7"/>
  <c r="Q131" i="7"/>
  <c r="R131" i="7"/>
  <c r="S131" i="7"/>
  <c r="W131" i="7"/>
  <c r="Q132" i="7"/>
  <c r="R132" i="7"/>
  <c r="S132" i="7"/>
  <c r="W132" i="7"/>
  <c r="Q133" i="7"/>
  <c r="R133" i="7"/>
  <c r="S133" i="7"/>
  <c r="W133" i="7"/>
  <c r="Q134" i="7"/>
  <c r="R134" i="7"/>
  <c r="S134" i="7"/>
  <c r="W134" i="7"/>
  <c r="Q135" i="7"/>
  <c r="R135" i="7"/>
  <c r="S135" i="7"/>
  <c r="W135" i="7"/>
  <c r="Q136" i="7"/>
  <c r="R136" i="7"/>
  <c r="S136" i="7"/>
  <c r="W136" i="7"/>
  <c r="Q137" i="7"/>
  <c r="R137" i="7"/>
  <c r="S137" i="7"/>
  <c r="W137" i="7"/>
  <c r="Q138" i="7"/>
  <c r="R138" i="7"/>
  <c r="S138" i="7"/>
  <c r="W138" i="7"/>
  <c r="Q139" i="7"/>
  <c r="R139" i="7"/>
  <c r="S139" i="7"/>
  <c r="W139" i="7"/>
  <c r="Q140" i="7"/>
  <c r="R140" i="7"/>
  <c r="S140" i="7"/>
  <c r="W140" i="7"/>
  <c r="Q141" i="7"/>
  <c r="R141" i="7"/>
  <c r="S141" i="7"/>
  <c r="W141" i="7"/>
  <c r="Q142" i="7"/>
  <c r="R142" i="7"/>
  <c r="S142" i="7"/>
  <c r="W142" i="7"/>
  <c r="Q143" i="7"/>
  <c r="R143" i="7"/>
  <c r="S143" i="7"/>
  <c r="W143" i="7"/>
  <c r="Q144" i="7"/>
  <c r="R144" i="7"/>
  <c r="S144" i="7"/>
  <c r="W144" i="7"/>
  <c r="Q145" i="7"/>
  <c r="R145" i="7"/>
  <c r="S145" i="7"/>
  <c r="W145" i="7"/>
  <c r="Q146" i="7"/>
  <c r="R146" i="7"/>
  <c r="S146" i="7"/>
  <c r="W146" i="7"/>
  <c r="Q147" i="7"/>
  <c r="R147" i="7"/>
  <c r="S147" i="7"/>
  <c r="W147" i="7"/>
  <c r="Q148" i="7"/>
  <c r="R148" i="7"/>
  <c r="S148" i="7"/>
  <c r="W148" i="7"/>
  <c r="Q149" i="7"/>
  <c r="R149" i="7"/>
  <c r="S149" i="7"/>
  <c r="W149" i="7"/>
  <c r="Q150" i="7"/>
  <c r="R150" i="7"/>
  <c r="S150" i="7"/>
  <c r="W150" i="7"/>
  <c r="Q151" i="7"/>
  <c r="R151" i="7"/>
  <c r="S151" i="7"/>
  <c r="W151" i="7"/>
  <c r="Q152" i="7"/>
  <c r="R152" i="7"/>
  <c r="S152" i="7"/>
  <c r="W152" i="7"/>
  <c r="Q153" i="7"/>
  <c r="R153" i="7"/>
  <c r="S153" i="7"/>
  <c r="W153" i="7"/>
  <c r="Q154" i="7"/>
  <c r="R154" i="7"/>
  <c r="S154" i="7"/>
  <c r="W154" i="7"/>
  <c r="Q155" i="7"/>
  <c r="R155" i="7"/>
  <c r="S155" i="7"/>
  <c r="W155" i="7"/>
  <c r="Q156" i="7"/>
  <c r="R156" i="7"/>
  <c r="S156" i="7"/>
  <c r="W156" i="7"/>
  <c r="Q157" i="7"/>
  <c r="R157" i="7"/>
  <c r="S157" i="7"/>
  <c r="W157" i="7"/>
  <c r="Q158" i="7"/>
  <c r="R158" i="7"/>
  <c r="S158" i="7"/>
  <c r="W158" i="7"/>
  <c r="Q159" i="7"/>
  <c r="R159" i="7"/>
  <c r="S159" i="7"/>
  <c r="W159" i="7"/>
  <c r="Q160" i="7"/>
  <c r="R160" i="7"/>
  <c r="S160" i="7"/>
  <c r="W160" i="7"/>
  <c r="Q161" i="7"/>
  <c r="R161" i="7"/>
  <c r="S161" i="7"/>
  <c r="W161" i="7"/>
  <c r="Q162" i="7"/>
  <c r="R162" i="7"/>
  <c r="S162" i="7"/>
  <c r="W162" i="7"/>
  <c r="Q163" i="7"/>
  <c r="R163" i="7"/>
  <c r="S163" i="7"/>
  <c r="W163" i="7"/>
  <c r="Q164" i="7"/>
  <c r="R164" i="7"/>
  <c r="S164" i="7"/>
  <c r="W164" i="7"/>
  <c r="Q165" i="7"/>
  <c r="R165" i="7"/>
  <c r="S165" i="7"/>
  <c r="W165" i="7"/>
  <c r="Q166" i="7"/>
  <c r="R166" i="7"/>
  <c r="S166" i="7"/>
  <c r="W166" i="7"/>
  <c r="Q167" i="7"/>
  <c r="R167" i="7"/>
  <c r="S167" i="7"/>
  <c r="W167" i="7"/>
  <c r="Q168" i="7"/>
  <c r="R168" i="7"/>
  <c r="S168" i="7"/>
  <c r="W168" i="7"/>
  <c r="Q169" i="7"/>
  <c r="R169" i="7"/>
  <c r="S169" i="7"/>
  <c r="W169" i="7"/>
  <c r="Q170" i="7"/>
  <c r="R170" i="7"/>
  <c r="S170" i="7"/>
  <c r="W170" i="7"/>
  <c r="Q171" i="7"/>
  <c r="R171" i="7"/>
  <c r="S171" i="7"/>
  <c r="W171" i="7"/>
  <c r="Q172" i="7"/>
  <c r="R172" i="7"/>
  <c r="S172" i="7"/>
  <c r="W172" i="7"/>
  <c r="Q173" i="7"/>
  <c r="R173" i="7"/>
  <c r="S173" i="7"/>
  <c r="W173" i="7"/>
  <c r="Q174" i="7"/>
  <c r="R174" i="7"/>
  <c r="S174" i="7"/>
  <c r="W174" i="7"/>
  <c r="Q175" i="7"/>
  <c r="R175" i="7"/>
  <c r="S175" i="7"/>
  <c r="W175" i="7"/>
  <c r="Q176" i="7"/>
  <c r="R176" i="7"/>
  <c r="S176" i="7"/>
  <c r="W176" i="7"/>
  <c r="Q177" i="7"/>
  <c r="R177" i="7"/>
  <c r="S177" i="7"/>
  <c r="W177" i="7"/>
  <c r="Q178" i="7"/>
  <c r="R178" i="7"/>
  <c r="S178" i="7"/>
  <c r="W178" i="7"/>
  <c r="Q179" i="7"/>
  <c r="R179" i="7"/>
  <c r="S179" i="7"/>
  <c r="W179" i="7"/>
  <c r="Q180" i="7"/>
  <c r="R180" i="7"/>
  <c r="S180" i="7"/>
  <c r="W180" i="7"/>
  <c r="Q181" i="7"/>
  <c r="R181" i="7"/>
  <c r="S181" i="7"/>
  <c r="W181" i="7"/>
  <c r="Q182" i="7"/>
  <c r="R182" i="7"/>
  <c r="S182" i="7"/>
  <c r="W182" i="7"/>
  <c r="Q183" i="7"/>
  <c r="R183" i="7"/>
  <c r="S183" i="7"/>
  <c r="W183" i="7"/>
  <c r="Q184" i="7"/>
  <c r="R184" i="7"/>
  <c r="S184" i="7"/>
  <c r="W184" i="7"/>
  <c r="Q185" i="7"/>
  <c r="R185" i="7"/>
  <c r="S185" i="7"/>
  <c r="W185" i="7"/>
  <c r="Q186" i="7"/>
  <c r="R186" i="7"/>
  <c r="S186" i="7"/>
  <c r="W186" i="7"/>
  <c r="Q187" i="7"/>
  <c r="R187" i="7"/>
  <c r="S187" i="7"/>
  <c r="W187" i="7"/>
  <c r="Q188" i="7"/>
  <c r="R188" i="7"/>
  <c r="S188" i="7"/>
  <c r="W188" i="7"/>
  <c r="Q189" i="7"/>
  <c r="R189" i="7"/>
  <c r="S189" i="7"/>
  <c r="W189" i="7"/>
  <c r="Q190" i="7"/>
  <c r="R190" i="7"/>
  <c r="S190" i="7"/>
  <c r="W190" i="7"/>
  <c r="Q191" i="7"/>
  <c r="R191" i="7"/>
  <c r="S191" i="7"/>
  <c r="W191" i="7"/>
  <c r="Q192" i="7"/>
  <c r="R192" i="7"/>
  <c r="S192" i="7"/>
  <c r="W192" i="7"/>
  <c r="Q193" i="7"/>
  <c r="R193" i="7"/>
  <c r="S193" i="7"/>
  <c r="W193" i="7"/>
  <c r="Q194" i="7"/>
  <c r="R194" i="7"/>
  <c r="S194" i="7"/>
  <c r="W194" i="7"/>
  <c r="Q195" i="7"/>
  <c r="R195" i="7"/>
  <c r="S195" i="7"/>
  <c r="W195" i="7"/>
  <c r="Q196" i="7"/>
  <c r="R196" i="7"/>
  <c r="S196" i="7"/>
  <c r="W196" i="7"/>
  <c r="Q197" i="7"/>
  <c r="R197" i="7"/>
  <c r="S197" i="7"/>
  <c r="W197" i="7"/>
  <c r="Q198" i="7"/>
  <c r="R198" i="7"/>
  <c r="S198" i="7"/>
  <c r="W198" i="7"/>
  <c r="Q199" i="7"/>
  <c r="R199" i="7"/>
  <c r="S199" i="7"/>
  <c r="W199" i="7"/>
  <c r="Q200" i="7"/>
  <c r="R200" i="7"/>
  <c r="S200" i="7"/>
  <c r="W200" i="7"/>
  <c r="Q201" i="7"/>
  <c r="R201" i="7"/>
  <c r="S201" i="7"/>
  <c r="W201" i="7"/>
  <c r="Q202" i="7"/>
  <c r="R202" i="7"/>
  <c r="S202" i="7"/>
  <c r="W202" i="7"/>
  <c r="Q203" i="7"/>
  <c r="R203" i="7"/>
  <c r="S203" i="7"/>
  <c r="W203" i="7"/>
  <c r="Q204" i="7"/>
  <c r="R204" i="7"/>
  <c r="S204" i="7"/>
  <c r="W204" i="7"/>
  <c r="Q205" i="7"/>
  <c r="R205" i="7"/>
  <c r="S205" i="7"/>
  <c r="W205" i="7"/>
  <c r="Q206" i="7"/>
  <c r="R206" i="7"/>
  <c r="S206" i="7"/>
  <c r="W206" i="7"/>
  <c r="Q207" i="7"/>
  <c r="R207" i="7"/>
  <c r="S207" i="7"/>
  <c r="W207" i="7"/>
  <c r="Q208" i="7"/>
  <c r="R208" i="7"/>
  <c r="S208" i="7"/>
  <c r="W208" i="7"/>
  <c r="Q209" i="7"/>
  <c r="R209" i="7"/>
  <c r="S209" i="7"/>
  <c r="W209" i="7"/>
  <c r="Q210" i="7"/>
  <c r="R210" i="7"/>
  <c r="S210" i="7"/>
  <c r="W210" i="7"/>
  <c r="Q211" i="7"/>
  <c r="R211" i="7"/>
  <c r="S211" i="7"/>
  <c r="W211" i="7"/>
  <c r="Q212" i="7"/>
  <c r="R212" i="7"/>
  <c r="S212" i="7"/>
  <c r="W212" i="7"/>
  <c r="Q213" i="7"/>
  <c r="R213" i="7"/>
  <c r="S213" i="7"/>
  <c r="W213" i="7"/>
  <c r="Q214" i="7"/>
  <c r="R214" i="7"/>
  <c r="S214" i="7"/>
  <c r="W214" i="7"/>
  <c r="Q215" i="7"/>
  <c r="R215" i="7"/>
  <c r="S215" i="7"/>
  <c r="W215" i="7"/>
  <c r="W17" i="7"/>
  <c r="V17" i="7"/>
  <c r="U17" i="7"/>
  <c r="S17" i="7"/>
  <c r="R17" i="7"/>
  <c r="Q17" i="7"/>
  <c r="H31" i="14"/>
  <c r="I31" i="14"/>
  <c r="J31" i="14"/>
  <c r="K31" i="14"/>
  <c r="H33" i="14"/>
  <c r="I33" i="14"/>
  <c r="K33" i="14"/>
  <c r="H35" i="14"/>
  <c r="I35" i="14"/>
  <c r="K35" i="14"/>
  <c r="H37" i="14"/>
  <c r="I37" i="14"/>
  <c r="J37" i="14"/>
  <c r="K37" i="14"/>
  <c r="H39" i="14"/>
  <c r="I39" i="14"/>
  <c r="J39" i="14"/>
  <c r="K39" i="14"/>
  <c r="H41" i="14"/>
  <c r="I41" i="14"/>
  <c r="J41" i="14"/>
  <c r="K41" i="14"/>
  <c r="H43" i="14"/>
  <c r="I43" i="14"/>
  <c r="J43" i="14"/>
  <c r="K43" i="14"/>
  <c r="H45" i="14"/>
  <c r="I45" i="14"/>
  <c r="J45" i="14"/>
  <c r="K45" i="14"/>
  <c r="H47" i="14"/>
  <c r="I47" i="14"/>
  <c r="K47" i="14"/>
  <c r="H49" i="14"/>
  <c r="I49" i="14"/>
  <c r="J49" i="14"/>
  <c r="K49" i="14"/>
  <c r="K29" i="14"/>
  <c r="J29" i="14"/>
  <c r="I29" i="14"/>
  <c r="H29" i="14"/>
  <c r="C31" i="14"/>
  <c r="D31" i="14"/>
  <c r="E31" i="14"/>
  <c r="F31" i="14"/>
  <c r="G31" i="14"/>
  <c r="E33" i="14"/>
  <c r="F33" i="14"/>
  <c r="G33" i="14"/>
  <c r="C35" i="14"/>
  <c r="D35" i="14"/>
  <c r="E35" i="14"/>
  <c r="F35" i="14"/>
  <c r="G35" i="14"/>
  <c r="C37" i="14"/>
  <c r="D37" i="14"/>
  <c r="E37" i="14"/>
  <c r="F37" i="14"/>
  <c r="G37" i="14"/>
  <c r="C39" i="14"/>
  <c r="D39" i="14"/>
  <c r="E39" i="14"/>
  <c r="F39" i="14"/>
  <c r="G39" i="14"/>
  <c r="C41" i="14"/>
  <c r="D41" i="14"/>
  <c r="E41" i="14"/>
  <c r="F41" i="14"/>
  <c r="G41" i="14"/>
  <c r="C43" i="14"/>
  <c r="D43" i="14"/>
  <c r="E43" i="14"/>
  <c r="F43" i="14"/>
  <c r="G43" i="14"/>
  <c r="C45" i="14"/>
  <c r="D45" i="14"/>
  <c r="E45" i="14"/>
  <c r="F45" i="14"/>
  <c r="G45" i="14"/>
  <c r="C47" i="14"/>
  <c r="D47" i="14"/>
  <c r="F47" i="14"/>
  <c r="G47" i="14"/>
  <c r="C49" i="14"/>
  <c r="D49" i="14"/>
  <c r="E49" i="14"/>
  <c r="F49" i="14"/>
  <c r="G29" i="14"/>
  <c r="F29" i="14"/>
  <c r="E29" i="14"/>
  <c r="D29" i="14"/>
  <c r="C29" i="14"/>
  <c r="B31" i="14"/>
  <c r="B33" i="14"/>
  <c r="B35" i="14"/>
  <c r="B37" i="14"/>
  <c r="B39" i="14"/>
  <c r="B41" i="14"/>
  <c r="B43" i="14"/>
  <c r="B45" i="14"/>
  <c r="B47" i="14"/>
  <c r="B49" i="14"/>
  <c r="B29" i="14"/>
  <c r="G49" i="14"/>
  <c r="D33" i="14"/>
  <c r="J47" i="14"/>
  <c r="J35" i="14"/>
  <c r="J33" i="14"/>
  <c r="E47" i="14"/>
  <c r="C33" i="14"/>
  <c r="B4" i="14"/>
  <c r="B3" i="14"/>
  <c r="D3" i="14"/>
  <c r="B5" i="14"/>
  <c r="B6" i="14"/>
  <c r="C3" i="14"/>
  <c r="D5" i="14"/>
  <c r="C5" i="14"/>
  <c r="F36" i="14"/>
  <c r="E30" i="14"/>
  <c r="I42" i="14"/>
  <c r="I32" i="14"/>
  <c r="I11" i="4"/>
  <c r="P8" i="14"/>
  <c r="K16" i="14"/>
  <c r="J48" i="14"/>
  <c r="K12" i="14"/>
  <c r="L13" i="14"/>
  <c r="F46" i="14"/>
  <c r="G42" i="14"/>
  <c r="B36" i="14"/>
  <c r="D46" i="14"/>
  <c r="L8" i="14"/>
  <c r="K28" i="14"/>
  <c r="L12" i="14"/>
  <c r="B48" i="14"/>
  <c r="B16" i="14"/>
  <c r="L21" i="14"/>
  <c r="L7" i="14"/>
  <c r="H46" i="14"/>
  <c r="H10" i="4"/>
  <c r="L6" i="14"/>
  <c r="K3" i="14"/>
  <c r="L16" i="14"/>
  <c r="C17" i="14"/>
  <c r="H11" i="14"/>
  <c r="F40" i="14"/>
  <c r="D17" i="14"/>
  <c r="E44" i="14"/>
  <c r="G48" i="14"/>
  <c r="D36" i="14"/>
  <c r="L9" i="14"/>
  <c r="H28" i="14"/>
  <c r="G4" i="14"/>
  <c r="K10" i="14"/>
  <c r="L14" i="14"/>
  <c r="K22" i="14"/>
  <c r="K9" i="14"/>
  <c r="B30" i="14"/>
  <c r="B12" i="14"/>
  <c r="J36" i="14"/>
  <c r="K46" i="14"/>
  <c r="K13" i="14"/>
  <c r="K20" i="14"/>
  <c r="P24" i="14"/>
  <c r="H5" i="14"/>
  <c r="F48" i="14"/>
  <c r="G15" i="4"/>
  <c r="G44" i="14"/>
  <c r="H40" i="14"/>
  <c r="F19" i="4"/>
  <c r="K7" i="14"/>
  <c r="G19" i="4"/>
  <c r="G32" i="14"/>
  <c r="J32" i="14"/>
  <c r="I5" i="4"/>
  <c r="O4" i="14"/>
  <c r="B46" i="14"/>
  <c r="C32" i="14"/>
  <c r="P20" i="14"/>
  <c r="G10" i="14"/>
  <c r="B17" i="14"/>
  <c r="F44" i="14"/>
  <c r="H6" i="4"/>
  <c r="G11" i="4"/>
  <c r="L19" i="14"/>
  <c r="I6" i="4"/>
  <c r="J42" i="14"/>
  <c r="P21" i="14"/>
  <c r="O10" i="14"/>
  <c r="G46" i="14"/>
  <c r="L15" i="14"/>
  <c r="C3" i="10"/>
  <c r="F16" i="4"/>
  <c r="C36" i="14"/>
  <c r="H36" i="14"/>
  <c r="K4" i="10"/>
  <c r="H3" i="14"/>
  <c r="H10" i="14"/>
  <c r="F20" i="4"/>
  <c r="B13" i="14"/>
  <c r="F28" i="14"/>
  <c r="L11" i="14"/>
  <c r="B3" i="2"/>
  <c r="G12" i="14"/>
  <c r="E28" i="14"/>
  <c r="P10" i="14"/>
  <c r="J38" i="14"/>
  <c r="H30" i="14"/>
  <c r="P6" i="14"/>
  <c r="E34" i="14"/>
  <c r="E32" i="14"/>
  <c r="B32" i="14"/>
  <c r="H42" i="14"/>
  <c r="C30" i="14"/>
  <c r="G5" i="4"/>
  <c r="F17" i="4"/>
  <c r="I4" i="4"/>
  <c r="E36" i="14"/>
  <c r="H4" i="4"/>
  <c r="E40" i="14"/>
  <c r="D40" i="14"/>
  <c r="O5" i="14"/>
  <c r="H9" i="14"/>
  <c r="H38" i="14"/>
  <c r="K48" i="14"/>
  <c r="B21" i="14"/>
  <c r="G10" i="4"/>
  <c r="P27" i="14"/>
  <c r="P18" i="14"/>
  <c r="I44" i="14"/>
  <c r="L18" i="14"/>
  <c r="B38" i="14"/>
  <c r="H3" i="2"/>
  <c r="G9" i="4"/>
  <c r="H7" i="4"/>
  <c r="B19" i="14"/>
  <c r="K5" i="14"/>
  <c r="H4" i="14"/>
  <c r="C46" i="14"/>
  <c r="K34" i="14"/>
  <c r="K36" i="14"/>
  <c r="H9" i="4"/>
  <c r="C13" i="14"/>
  <c r="P26" i="14"/>
  <c r="P4" i="14"/>
  <c r="H48" i="14"/>
  <c r="C44" i="14"/>
  <c r="G3" i="14"/>
  <c r="F32" i="14"/>
  <c r="L10" i="14"/>
  <c r="I28" i="14"/>
  <c r="O3" i="14"/>
  <c r="K4" i="14"/>
  <c r="K42" i="14"/>
  <c r="H11" i="4"/>
  <c r="F18" i="4"/>
  <c r="K19" i="14"/>
  <c r="I34" i="14"/>
  <c r="K40" i="14"/>
  <c r="D21" i="14"/>
  <c r="I48" i="14"/>
  <c r="B22" i="14"/>
  <c r="J34" i="14"/>
  <c r="B28" i="14"/>
  <c r="I10" i="4"/>
  <c r="G6" i="14"/>
  <c r="I36" i="14"/>
  <c r="H8" i="14"/>
  <c r="G28" i="14"/>
  <c r="C40" i="14"/>
  <c r="H7" i="14"/>
  <c r="C19" i="14"/>
  <c r="P9" i="14"/>
  <c r="B42" i="14"/>
  <c r="B20" i="14"/>
  <c r="H34" i="14"/>
  <c r="P25" i="14"/>
  <c r="J28" i="14"/>
  <c r="E38" i="14"/>
  <c r="B18" i="14"/>
  <c r="H5" i="4"/>
  <c r="G6" i="4"/>
  <c r="G34" i="14"/>
  <c r="H6" i="14"/>
  <c r="O12" i="14"/>
  <c r="B15" i="14"/>
  <c r="D30" i="14"/>
  <c r="G8" i="14"/>
  <c r="D48" i="14"/>
  <c r="P28" i="14"/>
  <c r="D42" i="14"/>
  <c r="E42" i="14"/>
  <c r="J30" i="14"/>
  <c r="K38" i="14"/>
  <c r="F34" i="14"/>
  <c r="D11" i="14"/>
  <c r="K11" i="14"/>
  <c r="J40" i="14"/>
  <c r="O9" i="14"/>
  <c r="G20" i="4"/>
  <c r="P3" i="14"/>
  <c r="J44" i="14"/>
  <c r="K32" i="14"/>
  <c r="O8" i="14"/>
  <c r="P22" i="14"/>
  <c r="G4" i="4"/>
  <c r="C42" i="14"/>
  <c r="B40" i="14"/>
  <c r="P5" i="14"/>
  <c r="D28" i="14"/>
  <c r="C38" i="14"/>
  <c r="D38" i="14"/>
  <c r="K14" i="14"/>
  <c r="P11" i="14"/>
  <c r="C34" i="14"/>
  <c r="D44" i="14"/>
  <c r="L22" i="14"/>
  <c r="G36" i="14"/>
  <c r="K15" i="14"/>
  <c r="C15" i="14"/>
  <c r="H3" i="4"/>
  <c r="I3" i="4"/>
  <c r="H12" i="14"/>
  <c r="C28" i="14"/>
  <c r="G3" i="4"/>
  <c r="D32" i="14"/>
  <c r="K3" i="10"/>
  <c r="F38" i="14"/>
  <c r="G16" i="4"/>
  <c r="G7" i="4"/>
  <c r="F30" i="14"/>
  <c r="C11" i="14"/>
  <c r="K6" i="14"/>
  <c r="G18" i="4"/>
  <c r="G11" i="14"/>
  <c r="N4" i="2"/>
  <c r="D13" i="14"/>
  <c r="O7" i="14"/>
  <c r="L17" i="14"/>
  <c r="L4" i="14"/>
  <c r="G7" i="14"/>
  <c r="C4" i="10"/>
  <c r="I40" i="14"/>
  <c r="B44" i="14"/>
  <c r="D34" i="14"/>
  <c r="I46" i="14"/>
  <c r="B14" i="14"/>
  <c r="C21" i="14"/>
  <c r="L20" i="14"/>
  <c r="G5" i="14"/>
  <c r="D19" i="14"/>
  <c r="G17" i="4"/>
  <c r="I7" i="4"/>
  <c r="N3" i="2"/>
  <c r="I9" i="4"/>
  <c r="B34" i="14"/>
  <c r="H44" i="14"/>
  <c r="O11" i="14"/>
  <c r="K30" i="14"/>
  <c r="P7" i="14"/>
  <c r="K44" i="14"/>
  <c r="F15" i="4"/>
  <c r="G30" i="14"/>
  <c r="L3" i="14"/>
  <c r="I30" i="14"/>
  <c r="K8" i="14"/>
  <c r="B4" i="2"/>
  <c r="K17" i="14"/>
  <c r="G9" i="14"/>
  <c r="P29" i="14"/>
  <c r="B11" i="14"/>
  <c r="F42" i="14"/>
  <c r="E48" i="14"/>
  <c r="H8" i="4"/>
  <c r="I38" i="14"/>
  <c r="G40" i="14"/>
  <c r="P12" i="14"/>
  <c r="P19" i="14"/>
  <c r="H4" i="2"/>
  <c r="E46" i="14"/>
  <c r="D15" i="14"/>
  <c r="C48" i="14"/>
  <c r="K18" i="14"/>
  <c r="J46" i="14"/>
  <c r="H32" i="14"/>
  <c r="G38" i="14"/>
  <c r="L5" i="14"/>
  <c r="O6" i="14"/>
  <c r="G8" i="4"/>
  <c r="K21" i="14"/>
  <c r="I8" i="4"/>
  <c r="P23" i="14"/>
  <c r="C20" i="4" l="1"/>
  <c r="C8" i="4"/>
  <c r="C17" i="4"/>
  <c r="C11" i="4"/>
  <c r="C19" i="4"/>
  <c r="C4" i="4"/>
  <c r="C6" i="4"/>
  <c r="H12" i="4"/>
  <c r="C3" i="4"/>
  <c r="G12" i="4"/>
  <c r="J8" i="4" s="1"/>
  <c r="K8" i="4" s="1"/>
  <c r="D8" i="4" s="1"/>
  <c r="C18" i="4"/>
  <c r="F22" i="4"/>
  <c r="H15" i="4" s="1"/>
  <c r="I15" i="4" s="1"/>
  <c r="C15" i="4"/>
  <c r="G22" i="4"/>
  <c r="C7" i="4"/>
  <c r="C5" i="4"/>
  <c r="C16" i="4"/>
  <c r="C10" i="4"/>
  <c r="I12" i="4"/>
  <c r="C9" i="4"/>
  <c r="H16" i="4" l="1"/>
  <c r="J5" i="4"/>
  <c r="K5" i="4" s="1"/>
  <c r="D5" i="4" s="1"/>
  <c r="J9" i="4"/>
  <c r="K9" i="4" s="1"/>
  <c r="D9" i="4" s="1"/>
  <c r="J7" i="4"/>
  <c r="K7" i="4" s="1"/>
  <c r="D7" i="4" s="1"/>
  <c r="J3" i="4"/>
  <c r="K3" i="4" s="1"/>
  <c r="D3" i="4" s="1"/>
  <c r="J6" i="4"/>
  <c r="K6" i="4" s="1"/>
  <c r="D6" i="4" s="1"/>
  <c r="J10" i="4"/>
  <c r="K10" i="4" s="1"/>
  <c r="D10" i="4" s="1"/>
  <c r="H18" i="4"/>
  <c r="I18" i="4" s="1"/>
  <c r="J4" i="4"/>
  <c r="K4" i="4" s="1"/>
  <c r="D4" i="4" s="1"/>
  <c r="J11" i="4"/>
  <c r="K11" i="4" s="1"/>
  <c r="D11" i="4" s="1"/>
  <c r="H20" i="4"/>
  <c r="I20" i="4" s="1"/>
  <c r="H19" i="4"/>
  <c r="I19" i="4" s="1"/>
  <c r="H17" i="4"/>
  <c r="I17" i="4" s="1"/>
  <c r="I22" i="4" l="1"/>
  <c r="I16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LinkedTable_Table10" type="102" refreshedVersion="6" minRefreshableVersion="5">
    <extLst>
      <ext xmlns:x15="http://schemas.microsoft.com/office/spreadsheetml/2010/11/main" uri="{DE250136-89BD-433C-8126-D09CA5730AF9}">
        <x15:connection id="Table10">
          <x15:rangePr sourceName="_xlcn.LinkedTable_Table101"/>
        </x15:connection>
      </ext>
    </extLst>
  </connection>
  <connection id="2" xr16:uid="{00000000-0015-0000-FFFF-FFFF01000000}" name="LinkedTable_Table11" type="102" refreshedVersion="6" minRefreshableVersion="5">
    <extLst>
      <ext xmlns:x15="http://schemas.microsoft.com/office/spreadsheetml/2010/11/main" uri="{DE250136-89BD-433C-8126-D09CA5730AF9}">
        <x15:connection id="Table11">
          <x15:rangePr sourceName="_xlcn.LinkedTable_Table111"/>
        </x15:connection>
      </ext>
    </extLst>
  </connection>
  <connection id="3" xr16:uid="{00000000-0015-0000-FFFF-FFFF02000000}" name="LinkedTable_Table2" type="102" refreshedVersion="6" minRefreshableVersion="5">
    <extLst>
      <ext xmlns:x15="http://schemas.microsoft.com/office/spreadsheetml/2010/11/main" uri="{DE250136-89BD-433C-8126-D09CA5730AF9}">
        <x15:connection id="Table2">
          <x15:rangePr sourceName="_xlcn.LinkedTable_Table21"/>
        </x15:connection>
      </ext>
    </extLst>
  </connection>
  <connection id="4" xr16:uid="{00000000-0015-0000-FFFF-FFFF03000000}" name="LinkedTable_Table24" type="102" refreshedVersion="6" minRefreshableVersion="5">
    <extLst>
      <ext xmlns:x15="http://schemas.microsoft.com/office/spreadsheetml/2010/11/main" uri="{DE250136-89BD-433C-8126-D09CA5730AF9}">
        <x15:connection id="Table24">
          <x15:rangePr sourceName="_xlcn.LinkedTable_Table241"/>
        </x15:connection>
      </ext>
    </extLst>
  </connection>
  <connection id="5" xr16:uid="{00000000-0015-0000-FFFF-FFFF04000000}" name="LinkedTable_Table246" type="102" refreshedVersion="6" minRefreshableVersion="5">
    <extLst>
      <ext xmlns:x15="http://schemas.microsoft.com/office/spreadsheetml/2010/11/main" uri="{DE250136-89BD-433C-8126-D09CA5730AF9}">
        <x15:connection id="Table246">
          <x15:rangePr sourceName="_xlcn.LinkedTable_Table2461"/>
        </x15:connection>
      </ext>
    </extLst>
  </connection>
  <connection id="6" xr16:uid="{00000000-0015-0000-FFFF-FFFF05000000}" name="LinkedTable_Table247" type="102" refreshedVersion="6" minRefreshableVersion="5">
    <extLst>
      <ext xmlns:x15="http://schemas.microsoft.com/office/spreadsheetml/2010/11/main" uri="{DE250136-89BD-433C-8126-D09CA5730AF9}">
        <x15:connection id="Table247">
          <x15:rangePr sourceName="_xlcn.LinkedTable_Table2471"/>
        </x15:connection>
      </ext>
    </extLst>
  </connection>
  <connection id="7" xr16:uid="{00000000-0015-0000-FFFF-FFFF06000000}" name="LinkedTable_Table4" type="102" refreshedVersion="6" minRefreshableVersion="5">
    <extLst>
      <ext xmlns:x15="http://schemas.microsoft.com/office/spreadsheetml/2010/11/main" uri="{DE250136-89BD-433C-8126-D09CA5730AF9}">
        <x15:connection id="Table4">
          <x15:rangePr sourceName="_xlcn.LinkedTable_Table41"/>
        </x15:connection>
      </ext>
    </extLst>
  </connection>
  <connection id="8" xr16:uid="{00000000-0015-0000-FFFF-FFFF07000000}" name="LinkedTable_Table7" type="102" refreshedVersion="6" minRefreshableVersion="5">
    <extLst>
      <ext xmlns:x15="http://schemas.microsoft.com/office/spreadsheetml/2010/11/main" uri="{DE250136-89BD-433C-8126-D09CA5730AF9}">
        <x15:connection id="Table7">
          <x15:rangePr sourceName="_xlcn.LinkedTable_Table71"/>
        </x15:connection>
      </ext>
    </extLst>
  </connection>
  <connection id="9" xr16:uid="{00000000-0015-0000-FFFF-FFFF08000000}" name="LinkedTable_Table8" type="102" refreshedVersion="6" minRefreshableVersion="5">
    <extLst>
      <ext xmlns:x15="http://schemas.microsoft.com/office/spreadsheetml/2010/11/main" uri="{DE250136-89BD-433C-8126-D09CA5730AF9}">
        <x15:connection id="Table8">
          <x15:rangePr sourceName="_xlcn.LinkedTable_Table81"/>
        </x15:connection>
      </ext>
    </extLst>
  </connection>
  <connection id="10" xr16:uid="{00000000-0015-0000-FFFF-FFFF09000000}" name="LinkedTable_Table9" type="102" refreshedVersion="6" minRefreshableVersion="5">
    <extLst>
      <ext xmlns:x15="http://schemas.microsoft.com/office/spreadsheetml/2010/11/main" uri="{DE250136-89BD-433C-8126-D09CA5730AF9}">
        <x15:connection id="Table9">
          <x15:rangePr sourceName="_xlcn.LinkedTable_Table91"/>
        </x15:connection>
      </ext>
    </extLst>
  </connection>
  <connection id="11" xr16:uid="{00000000-0015-0000-FFFF-FFFF0A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<sst xmlns="http://schemas.openxmlformats.org/spreadsheetml/2006/main" count="2080" uniqueCount="246">
  <si>
    <t>Pass Attempts by Zone</t>
  </si>
  <si>
    <t>Left</t>
  </si>
  <si>
    <t>Middle</t>
  </si>
  <si>
    <t>Right</t>
  </si>
  <si>
    <t>Rushing Attempts by Gap</t>
  </si>
  <si>
    <t>Run / Pass</t>
  </si>
  <si>
    <t>Down</t>
  </si>
  <si>
    <t>Down &amp; Distance</t>
  </si>
  <si>
    <t>Field Postion</t>
  </si>
  <si>
    <t>Attempts</t>
  </si>
  <si>
    <t>Yards</t>
  </si>
  <si>
    <t>Avg</t>
  </si>
  <si>
    <t>Run</t>
  </si>
  <si>
    <t>Pass</t>
  </si>
  <si>
    <t>1st</t>
  </si>
  <si>
    <t>1st &amp; 10+</t>
  </si>
  <si>
    <t>0 - 20</t>
  </si>
  <si>
    <t>2nd</t>
  </si>
  <si>
    <t>1st &amp; &lt; 10</t>
  </si>
  <si>
    <t>21 - 49</t>
  </si>
  <si>
    <t>3rd</t>
  </si>
  <si>
    <t>2nd &amp; 8+</t>
  </si>
  <si>
    <t>50 - 21</t>
  </si>
  <si>
    <t>Strength</t>
  </si>
  <si>
    <t>4th</t>
  </si>
  <si>
    <t>2nd &amp; 4 - 7</t>
  </si>
  <si>
    <t>Red Zone</t>
  </si>
  <si>
    <t>Total</t>
  </si>
  <si>
    <t>2nd &amp; &lt; 4</t>
  </si>
  <si>
    <t>Goal Line</t>
  </si>
  <si>
    <t>3rd &amp; 8+</t>
  </si>
  <si>
    <t>BAL</t>
  </si>
  <si>
    <t>3rd &amp; 4 - 7</t>
  </si>
  <si>
    <t>Field vs Boundry</t>
  </si>
  <si>
    <t>Strong</t>
  </si>
  <si>
    <t>3rd &amp; &lt; 4</t>
  </si>
  <si>
    <t>Field</t>
  </si>
  <si>
    <t>Weak</t>
  </si>
  <si>
    <t>4th &amp; 2+</t>
  </si>
  <si>
    <t>(Wide)</t>
  </si>
  <si>
    <t>Boundry</t>
  </si>
  <si>
    <t>4th &amp; ≤ 2</t>
  </si>
  <si>
    <t>(Short)</t>
  </si>
  <si>
    <t xml:space="preserve">Down &amp; Distance </t>
  </si>
  <si>
    <t>0-20</t>
  </si>
  <si>
    <t>21-49</t>
  </si>
  <si>
    <t>50-21</t>
  </si>
  <si>
    <t>TOTAL</t>
  </si>
  <si>
    <t>Play</t>
  </si>
  <si>
    <t>ODK</t>
  </si>
  <si>
    <t>Distance</t>
  </si>
  <si>
    <t>Yard Line</t>
  </si>
  <si>
    <t>Gain/Loss</t>
  </si>
  <si>
    <t>Hash</t>
  </si>
  <si>
    <t>Motion</t>
  </si>
  <si>
    <t>Play Type</t>
  </si>
  <si>
    <t>Direction</t>
  </si>
  <si>
    <t>Gap</t>
  </si>
  <si>
    <t>Complete</t>
  </si>
  <si>
    <t>Pass Zone</t>
  </si>
  <si>
    <t>Direction G</t>
  </si>
  <si>
    <t>Direction1</t>
  </si>
  <si>
    <t>Zone G</t>
  </si>
  <si>
    <t>Strength1</t>
  </si>
  <si>
    <t>D&amp;D</t>
  </si>
  <si>
    <t>Yard Line Zone</t>
  </si>
  <si>
    <t>R</t>
  </si>
  <si>
    <t>S</t>
  </si>
  <si>
    <t/>
  </si>
  <si>
    <t xml:space="preserve"> </t>
  </si>
  <si>
    <t>M</t>
  </si>
  <si>
    <t>D</t>
  </si>
  <si>
    <t>L</t>
  </si>
  <si>
    <t>A</t>
  </si>
  <si>
    <t>B</t>
  </si>
  <si>
    <t>C</t>
  </si>
  <si>
    <t>PASS DATA</t>
  </si>
  <si>
    <t>(All)</t>
  </si>
  <si>
    <t>Column Labels</t>
  </si>
  <si>
    <t>Attempted</t>
  </si>
  <si>
    <t>Completed</t>
  </si>
  <si>
    <t>Yard</t>
  </si>
  <si>
    <t>Total Attempted</t>
  </si>
  <si>
    <t>Total Completed</t>
  </si>
  <si>
    <t>Total Yard</t>
  </si>
  <si>
    <t>Row Labels</t>
  </si>
  <si>
    <t>Grand Total</t>
  </si>
  <si>
    <t>RUN DATA</t>
  </si>
  <si>
    <t>Rush Attempts</t>
  </si>
  <si>
    <t>Sum of Attempts</t>
  </si>
  <si>
    <t>Sum of Yards</t>
  </si>
  <si>
    <t>Sum of Yards2</t>
  </si>
  <si>
    <t>L Total</t>
  </si>
  <si>
    <t>R Total</t>
  </si>
  <si>
    <t>Count of Play</t>
  </si>
  <si>
    <t xml:space="preserve">Yards </t>
  </si>
  <si>
    <t>Sum of Yds per Att</t>
  </si>
  <si>
    <t>STOP HERE</t>
  </si>
  <si>
    <t>DOWNS</t>
  </si>
  <si>
    <t>Total Count of Attempts</t>
  </si>
  <si>
    <t>Total % Attempts</t>
  </si>
  <si>
    <t>STRENGTH</t>
  </si>
  <si>
    <t>Sum of Attempts2</t>
  </si>
  <si>
    <t>Sum of Yrd per Att/</t>
  </si>
  <si>
    <t>STRENGTH 2</t>
  </si>
  <si>
    <t>FIELD</t>
  </si>
  <si>
    <t>FIELD ZONE</t>
  </si>
  <si>
    <t>DOWN &amp; DISTANCE</t>
  </si>
  <si>
    <t>Pass Data</t>
  </si>
  <si>
    <t>Zone</t>
  </si>
  <si>
    <t>Att</t>
  </si>
  <si>
    <t>Label</t>
  </si>
  <si>
    <t>Zone Name</t>
  </si>
  <si>
    <t>% Att</t>
  </si>
  <si>
    <t>Left, Short</t>
  </si>
  <si>
    <t>Left, Med</t>
  </si>
  <si>
    <t>Left, Deep</t>
  </si>
  <si>
    <t>Middle, Short</t>
  </si>
  <si>
    <t>Middle, Med</t>
  </si>
  <si>
    <t>Middle, Deep</t>
  </si>
  <si>
    <t>Right, Short</t>
  </si>
  <si>
    <t>Right, Med</t>
  </si>
  <si>
    <t>Right, Deep</t>
  </si>
  <si>
    <t>C Gap</t>
  </si>
  <si>
    <t>Left, C</t>
  </si>
  <si>
    <t>B Gap</t>
  </si>
  <si>
    <t>Left, B</t>
  </si>
  <si>
    <t>A Gap</t>
  </si>
  <si>
    <t>Left, A</t>
  </si>
  <si>
    <t>Right, A</t>
  </si>
  <si>
    <t>Right, B</t>
  </si>
  <si>
    <t>Right, C</t>
  </si>
  <si>
    <t>Qtr</t>
  </si>
  <si>
    <t>Result</t>
  </si>
  <si>
    <t>1st Dn</t>
  </si>
  <si>
    <t>2 Pt.</t>
  </si>
  <si>
    <t>Fumble</t>
  </si>
  <si>
    <t>Batted Down</t>
  </si>
  <si>
    <t>2 Pt. Defend</t>
  </si>
  <si>
    <t>Incomplete</t>
  </si>
  <si>
    <t>Block</t>
  </si>
  <si>
    <t>Extra Pt.</t>
  </si>
  <si>
    <t>Interception</t>
  </si>
  <si>
    <t>Blocked, Def TD</t>
  </si>
  <si>
    <t>Extra Pt. Block</t>
  </si>
  <si>
    <t>OT</t>
  </si>
  <si>
    <t>Rush</t>
  </si>
  <si>
    <t>Fake FG</t>
  </si>
  <si>
    <t>Complete, Fumble</t>
  </si>
  <si>
    <t>Fake Punt</t>
  </si>
  <si>
    <t>Complete, TD</t>
  </si>
  <si>
    <t>FG</t>
  </si>
  <si>
    <t>Play Type #</t>
  </si>
  <si>
    <t>Play Type Short</t>
  </si>
  <si>
    <t>Play Type Long</t>
  </si>
  <si>
    <t>COP</t>
  </si>
  <si>
    <t>FG Block</t>
  </si>
  <si>
    <t>P</t>
  </si>
  <si>
    <t>Def, TD</t>
  </si>
  <si>
    <t>KO</t>
  </si>
  <si>
    <t>Downed</t>
  </si>
  <si>
    <t>KO Rec</t>
  </si>
  <si>
    <t>K</t>
  </si>
  <si>
    <t>Kick</t>
  </si>
  <si>
    <t>Dropped</t>
  </si>
  <si>
    <t>Onside Kick</t>
  </si>
  <si>
    <t>Fair Catch</t>
  </si>
  <si>
    <t>Onside Kick Rec</t>
  </si>
  <si>
    <t>Strength #</t>
  </si>
  <si>
    <t>Strength Short</t>
  </si>
  <si>
    <t>Strength Long</t>
  </si>
  <si>
    <t>Fumble, Def TD</t>
  </si>
  <si>
    <t>Punt</t>
  </si>
  <si>
    <t>Good</t>
  </si>
  <si>
    <t>Punt Rec</t>
  </si>
  <si>
    <t>Hash #</t>
  </si>
  <si>
    <t>Hash Short</t>
  </si>
  <si>
    <t>Hash Long</t>
  </si>
  <si>
    <t>Interception, Def TD</t>
  </si>
  <si>
    <t>Interception, Fumble</t>
  </si>
  <si>
    <t>No Good</t>
  </si>
  <si>
    <t>No Good, Def TD</t>
  </si>
  <si>
    <t>Offsetting Penalties</t>
  </si>
  <si>
    <t>Motion #</t>
  </si>
  <si>
    <t>Motion Short</t>
  </si>
  <si>
    <t>Motion Long</t>
  </si>
  <si>
    <t>Out of Bounds</t>
  </si>
  <si>
    <t>Penalty</t>
  </si>
  <si>
    <t>Penalty, Safety</t>
  </si>
  <si>
    <t>Recovered</t>
  </si>
  <si>
    <t>Return</t>
  </si>
  <si>
    <t>Pass Zone #</t>
  </si>
  <si>
    <t>Pass Zone Short</t>
  </si>
  <si>
    <t>Psss Zone Long</t>
  </si>
  <si>
    <t>Short</t>
  </si>
  <si>
    <t>Rush, Safety</t>
  </si>
  <si>
    <t>Medium</t>
  </si>
  <si>
    <t>Rush, TD</t>
  </si>
  <si>
    <t>Deep</t>
  </si>
  <si>
    <t>Sack</t>
  </si>
  <si>
    <t>Sack, Fumble</t>
  </si>
  <si>
    <t>Direction #</t>
  </si>
  <si>
    <t>Direction Short</t>
  </si>
  <si>
    <t>Direction Long</t>
  </si>
  <si>
    <t>Sack, Fumble, Def TD</t>
  </si>
  <si>
    <t>Sack, Safety</t>
  </si>
  <si>
    <t>Safety</t>
  </si>
  <si>
    <t>Scramble</t>
  </si>
  <si>
    <t>Scramble, TD</t>
  </si>
  <si>
    <t>ODK #</t>
  </si>
  <si>
    <t>ODK Short</t>
  </si>
  <si>
    <t>ODK Long</t>
  </si>
  <si>
    <t>TD</t>
  </si>
  <si>
    <t>O</t>
  </si>
  <si>
    <t>Offense</t>
  </si>
  <si>
    <t>Timeout</t>
  </si>
  <si>
    <t>Defense</t>
  </si>
  <si>
    <t>Tipped</t>
  </si>
  <si>
    <t>Touchback</t>
  </si>
  <si>
    <t>Special</t>
  </si>
  <si>
    <t>D&amp;D Category</t>
  </si>
  <si>
    <t>Yardline Zone</t>
  </si>
  <si>
    <t>21-50</t>
  </si>
  <si>
    <t>49-21</t>
  </si>
  <si>
    <t>2nd &amp; 7+</t>
  </si>
  <si>
    <t>3rd &amp; 7+</t>
  </si>
  <si>
    <t>Down #</t>
  </si>
  <si>
    <t>Yardline</t>
  </si>
  <si>
    <t>v</t>
  </si>
  <si>
    <t>Count of Attempts</t>
  </si>
  <si>
    <t>% Attempts</t>
  </si>
  <si>
    <t>0-20 Total</t>
  </si>
  <si>
    <t>21-49 Total</t>
  </si>
  <si>
    <t>50-21 Total</t>
  </si>
  <si>
    <t>Red Zone Total</t>
  </si>
  <si>
    <t>Goal Line Total</t>
  </si>
  <si>
    <t>01:  1st &amp; 10+</t>
  </si>
  <si>
    <t>02:  1st &amp; &lt; 10</t>
  </si>
  <si>
    <t>03:  2nd &amp; 8+</t>
  </si>
  <si>
    <t>04:  2nd &amp; 4 - 7</t>
  </si>
  <si>
    <t>05:  2nd &amp; &lt; 4</t>
  </si>
  <si>
    <t>06:  3rd &amp; 8+</t>
  </si>
  <si>
    <t>07:  3rd &amp; 4 - 7</t>
  </si>
  <si>
    <t>08:  3rd &amp; &lt; 4</t>
  </si>
  <si>
    <t>09:  4th &amp; 2+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</si>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</sst>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0"/>
      <name val="Calibri"/>
      <family val="2"/>
      <scheme val="minor"/>
    </font>
    <font>
      <sz val="9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/>
      <top style="thick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thick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/>
      <top style="hair">
        <color auto="1"/>
      </top>
      <bottom style="thick">
        <color auto="1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thin">
        <color indexed="64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/>
      <diagonal/>
    </border>
    <border>
      <left style="thin">
        <color indexed="64"/>
      </left>
      <right style="hair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double">
        <color indexed="64"/>
      </bottom>
      <diagonal/>
    </border>
    <border>
      <left style="hair">
        <color auto="1"/>
      </left>
      <right style="hair">
        <color auto="1"/>
      </right>
      <top/>
      <bottom style="double">
        <color indexed="64"/>
      </bottom>
      <diagonal/>
    </border>
    <border>
      <left style="hair">
        <color auto="1"/>
      </left>
      <right/>
      <top/>
      <bottom style="double">
        <color indexed="64"/>
      </bottom>
      <diagonal/>
    </border>
    <border>
      <left style="hair">
        <color auto="1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auto="1"/>
      </right>
      <top/>
      <bottom style="double">
        <color indexed="64"/>
      </bottom>
      <diagonal/>
    </border>
    <border>
      <left/>
      <right style="hair">
        <color auto="1"/>
      </right>
      <top style="hair">
        <color auto="1"/>
      </top>
      <bottom style="double">
        <color indexed="64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/>
      <diagonal/>
    </border>
    <border>
      <left/>
      <right style="hair">
        <color auto="1"/>
      </right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thick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84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1" fontId="0" fillId="0" borderId="0" xfId="0" applyNumberFormat="1"/>
    <xf numFmtId="0" fontId="0" fillId="0" borderId="0" xfId="0" applyAlignment="1">
      <alignment wrapText="1"/>
    </xf>
    <xf numFmtId="0" fontId="3" fillId="0" borderId="0" xfId="1"/>
    <xf numFmtId="0" fontId="3" fillId="0" borderId="0" xfId="1" applyAlignment="1">
      <alignment vertical="center"/>
    </xf>
    <xf numFmtId="0" fontId="4" fillId="0" borderId="0" xfId="1" applyFont="1"/>
    <xf numFmtId="0" fontId="5" fillId="0" borderId="0" xfId="1" applyFont="1"/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left" wrapText="1"/>
    </xf>
    <xf numFmtId="0" fontId="7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 vertical="center" wrapText="1"/>
    </xf>
    <xf numFmtId="0" fontId="0" fillId="0" borderId="0" xfId="2" applyNumberFormat="1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6" fillId="0" borderId="1" xfId="0" applyFont="1" applyBorder="1" applyAlignment="1">
      <alignment horizontal="center" wrapText="1"/>
    </xf>
    <xf numFmtId="0" fontId="0" fillId="0" borderId="0" xfId="0" applyAlignment="1">
      <alignment horizontal="left" indent="1"/>
    </xf>
    <xf numFmtId="9" fontId="0" fillId="0" borderId="0" xfId="0" applyNumberFormat="1" applyAlignment="1">
      <alignment wrapText="1"/>
    </xf>
    <xf numFmtId="0" fontId="0" fillId="0" borderId="0" xfId="0" applyFont="1" applyAlignment="1">
      <alignment horizont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0" xfId="0" applyAlignment="1">
      <alignment horizontal="right"/>
    </xf>
    <xf numFmtId="0" fontId="11" fillId="0" borderId="24" xfId="0" applyFont="1" applyBorder="1"/>
    <xf numFmtId="0" fontId="11" fillId="0" borderId="24" xfId="0" applyFont="1" applyBorder="1" applyAlignment="1">
      <alignment horizontal="center"/>
    </xf>
    <xf numFmtId="9" fontId="12" fillId="4" borderId="14" xfId="0" applyNumberFormat="1" applyFont="1" applyFill="1" applyBorder="1" applyAlignment="1">
      <alignment horizontal="center" vertical="center"/>
    </xf>
    <xf numFmtId="9" fontId="12" fillId="4" borderId="17" xfId="0" applyNumberFormat="1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/>
    </xf>
    <xf numFmtId="0" fontId="10" fillId="4" borderId="17" xfId="0" applyFont="1" applyFill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5" fillId="0" borderId="0" xfId="0" applyFont="1"/>
    <xf numFmtId="0" fontId="0" fillId="4" borderId="20" xfId="0" applyFont="1" applyFill="1" applyBorder="1" applyAlignment="1">
      <alignment horizontal="right" vertical="center"/>
    </xf>
    <xf numFmtId="0" fontId="0" fillId="4" borderId="18" xfId="0" applyFont="1" applyFill="1" applyBorder="1" applyAlignment="1">
      <alignment horizontal="right" vertical="center"/>
    </xf>
    <xf numFmtId="9" fontId="12" fillId="4" borderId="18" xfId="0" applyNumberFormat="1" applyFont="1" applyFill="1" applyBorder="1" applyAlignment="1">
      <alignment horizontal="center" vertical="center"/>
    </xf>
    <xf numFmtId="0" fontId="0" fillId="0" borderId="24" xfId="0" applyBorder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24" xfId="0" applyFont="1" applyBorder="1"/>
    <xf numFmtId="9" fontId="12" fillId="5" borderId="13" xfId="0" applyNumberFormat="1" applyFont="1" applyFill="1" applyBorder="1" applyAlignment="1">
      <alignment horizontal="center" vertical="center"/>
    </xf>
    <xf numFmtId="0" fontId="10" fillId="5" borderId="19" xfId="0" applyFont="1" applyFill="1" applyBorder="1" applyAlignment="1">
      <alignment horizontal="center" vertical="center"/>
    </xf>
    <xf numFmtId="0" fontId="12" fillId="4" borderId="18" xfId="0" applyFont="1" applyFill="1" applyBorder="1" applyAlignment="1">
      <alignment horizontal="right" vertical="center"/>
    </xf>
    <xf numFmtId="0" fontId="12" fillId="4" borderId="12" xfId="0" applyFont="1" applyFill="1" applyBorder="1" applyAlignment="1">
      <alignment horizontal="right" vertical="center"/>
    </xf>
    <xf numFmtId="9" fontId="12" fillId="5" borderId="12" xfId="0" applyNumberFormat="1" applyFont="1" applyFill="1" applyBorder="1" applyAlignment="1">
      <alignment horizontal="center" vertical="center"/>
    </xf>
    <xf numFmtId="0" fontId="10" fillId="5" borderId="20" xfId="0" applyFont="1" applyFill="1" applyBorder="1" applyAlignment="1">
      <alignment horizontal="center" vertical="center"/>
    </xf>
    <xf numFmtId="0" fontId="16" fillId="6" borderId="29" xfId="0" applyFont="1" applyFill="1" applyBorder="1" applyAlignment="1">
      <alignment horizontal="center"/>
    </xf>
    <xf numFmtId="0" fontId="0" fillId="7" borderId="29" xfId="0" applyFont="1" applyFill="1" applyBorder="1" applyAlignment="1">
      <alignment horizontal="center"/>
    </xf>
    <xf numFmtId="0" fontId="0" fillId="0" borderId="29" xfId="0" applyFont="1" applyBorder="1" applyAlignment="1">
      <alignment horizontal="center"/>
    </xf>
    <xf numFmtId="0" fontId="16" fillId="6" borderId="30" xfId="0" applyFont="1" applyFill="1" applyBorder="1" applyAlignment="1">
      <alignment horizontal="center"/>
    </xf>
    <xf numFmtId="0" fontId="0" fillId="0" borderId="31" xfId="0" applyFont="1" applyBorder="1" applyAlignment="1">
      <alignment horizontal="center"/>
    </xf>
    <xf numFmtId="10" fontId="0" fillId="0" borderId="0" xfId="0" applyNumberFormat="1"/>
    <xf numFmtId="9" fontId="0" fillId="0" borderId="0" xfId="0" applyNumberFormat="1"/>
    <xf numFmtId="164" fontId="0" fillId="0" borderId="0" xfId="0" applyNumberFormat="1"/>
    <xf numFmtId="0" fontId="0" fillId="0" borderId="0" xfId="0" pivotButton="1" applyAlignment="1">
      <alignment wrapText="1"/>
    </xf>
    <xf numFmtId="9" fontId="12" fillId="5" borderId="28" xfId="0" applyNumberFormat="1" applyFont="1" applyFill="1" applyBorder="1" applyAlignment="1">
      <alignment horizontal="center" vertical="center"/>
    </xf>
    <xf numFmtId="0" fontId="10" fillId="5" borderId="18" xfId="0" applyFont="1" applyFill="1" applyBorder="1" applyAlignment="1">
      <alignment horizontal="center" vertical="center"/>
    </xf>
    <xf numFmtId="9" fontId="12" fillId="5" borderId="27" xfId="0" applyNumberFormat="1" applyFont="1" applyFill="1" applyBorder="1" applyAlignment="1">
      <alignment horizontal="center" vertical="center"/>
    </xf>
    <xf numFmtId="0" fontId="10" fillId="5" borderId="17" xfId="0" applyFont="1" applyFill="1" applyBorder="1" applyAlignment="1">
      <alignment horizontal="center" vertical="center"/>
    </xf>
    <xf numFmtId="0" fontId="11" fillId="0" borderId="33" xfId="0" applyFont="1" applyBorder="1" applyAlignment="1">
      <alignment horizontal="center"/>
    </xf>
    <xf numFmtId="9" fontId="12" fillId="5" borderId="34" xfId="0" applyNumberFormat="1" applyFont="1" applyFill="1" applyBorder="1" applyAlignment="1">
      <alignment horizontal="center" vertical="center"/>
    </xf>
    <xf numFmtId="0" fontId="10" fillId="5" borderId="35" xfId="0" applyFont="1" applyFill="1" applyBorder="1" applyAlignment="1">
      <alignment horizontal="center" vertical="center"/>
    </xf>
    <xf numFmtId="9" fontId="12" fillId="4" borderId="34" xfId="0" applyNumberFormat="1" applyFont="1" applyFill="1" applyBorder="1" applyAlignment="1">
      <alignment horizontal="center" vertical="center"/>
    </xf>
    <xf numFmtId="0" fontId="10" fillId="4" borderId="35" xfId="0" applyFont="1" applyFill="1" applyBorder="1" applyAlignment="1">
      <alignment horizontal="center" vertical="center"/>
    </xf>
    <xf numFmtId="0" fontId="11" fillId="0" borderId="37" xfId="0" applyFont="1" applyBorder="1" applyAlignment="1">
      <alignment horizontal="center"/>
    </xf>
    <xf numFmtId="9" fontId="12" fillId="4" borderId="38" xfId="0" applyNumberFormat="1" applyFont="1" applyFill="1" applyBorder="1" applyAlignment="1">
      <alignment horizontal="center" vertical="center"/>
    </xf>
    <xf numFmtId="0" fontId="10" fillId="4" borderId="39" xfId="0" applyFont="1" applyFill="1" applyBorder="1" applyAlignment="1">
      <alignment horizontal="center" vertical="center"/>
    </xf>
    <xf numFmtId="0" fontId="10" fillId="5" borderId="14" xfId="0" applyFont="1" applyFill="1" applyBorder="1" applyAlignment="1">
      <alignment horizontal="center" vertical="center"/>
    </xf>
    <xf numFmtId="9" fontId="12" fillId="5" borderId="35" xfId="0" applyNumberFormat="1" applyFont="1" applyFill="1" applyBorder="1" applyAlignment="1">
      <alignment horizontal="center" vertical="center"/>
    </xf>
    <xf numFmtId="9" fontId="12" fillId="5" borderId="39" xfId="0" applyNumberFormat="1" applyFont="1" applyFill="1" applyBorder="1" applyAlignment="1">
      <alignment horizontal="center" vertical="center"/>
    </xf>
    <xf numFmtId="9" fontId="12" fillId="4" borderId="35" xfId="0" applyNumberFormat="1" applyFont="1" applyFill="1" applyBorder="1" applyAlignment="1">
      <alignment horizontal="center" vertical="center"/>
    </xf>
    <xf numFmtId="9" fontId="12" fillId="5" borderId="18" xfId="0" applyNumberFormat="1" applyFont="1" applyFill="1" applyBorder="1" applyAlignment="1">
      <alignment horizontal="center" vertical="center"/>
    </xf>
    <xf numFmtId="0" fontId="18" fillId="3" borderId="23" xfId="0" applyFont="1" applyFill="1" applyBorder="1"/>
    <xf numFmtId="0" fontId="18" fillId="3" borderId="23" xfId="0" applyFont="1" applyFill="1" applyBorder="1" applyAlignment="1">
      <alignment horizontal="center"/>
    </xf>
    <xf numFmtId="0" fontId="17" fillId="3" borderId="0" xfId="0" applyFont="1" applyFill="1"/>
    <xf numFmtId="0" fontId="19" fillId="3" borderId="23" xfId="0" applyFont="1" applyFill="1" applyBorder="1"/>
    <xf numFmtId="0" fontId="17" fillId="3" borderId="0" xfId="0" applyFont="1" applyFill="1" applyBorder="1"/>
    <xf numFmtId="9" fontId="12" fillId="5" borderId="17" xfId="0" applyNumberFormat="1" applyFont="1" applyFill="1" applyBorder="1" applyAlignment="1">
      <alignment horizontal="center" vertical="center"/>
    </xf>
    <xf numFmtId="9" fontId="12" fillId="4" borderId="39" xfId="0" applyNumberFormat="1" applyFont="1" applyFill="1" applyBorder="1" applyAlignment="1">
      <alignment horizontal="center" vertical="center"/>
    </xf>
    <xf numFmtId="9" fontId="12" fillId="5" borderId="14" xfId="0" applyNumberFormat="1" applyFont="1" applyFill="1" applyBorder="1" applyAlignment="1">
      <alignment horizontal="center" vertical="center"/>
    </xf>
    <xf numFmtId="0" fontId="10" fillId="5" borderId="41" xfId="0" applyFont="1" applyFill="1" applyBorder="1" applyAlignment="1">
      <alignment horizontal="center" vertical="center"/>
    </xf>
    <xf numFmtId="0" fontId="10" fillId="4" borderId="42" xfId="0" applyFont="1" applyFill="1" applyBorder="1" applyAlignment="1">
      <alignment horizontal="center" vertical="center"/>
    </xf>
    <xf numFmtId="0" fontId="10" fillId="4" borderId="41" xfId="0" applyFont="1" applyFill="1" applyBorder="1" applyAlignment="1">
      <alignment horizontal="center" vertical="center"/>
    </xf>
    <xf numFmtId="0" fontId="10" fillId="5" borderId="16" xfId="0" applyFont="1" applyFill="1" applyBorder="1" applyAlignment="1">
      <alignment horizontal="center" vertical="center"/>
    </xf>
    <xf numFmtId="9" fontId="12" fillId="5" borderId="38" xfId="0" applyNumberFormat="1" applyFont="1" applyFill="1" applyBorder="1" applyAlignment="1">
      <alignment horizontal="center" vertical="center"/>
    </xf>
    <xf numFmtId="0" fontId="10" fillId="5" borderId="42" xfId="0" applyFont="1" applyFill="1" applyBorder="1" applyAlignment="1">
      <alignment horizontal="center" vertical="center"/>
    </xf>
    <xf numFmtId="0" fontId="10" fillId="5" borderId="39" xfId="0" applyFont="1" applyFill="1" applyBorder="1" applyAlignment="1">
      <alignment horizontal="center" vertical="center"/>
    </xf>
    <xf numFmtId="0" fontId="19" fillId="3" borderId="23" xfId="0" applyFont="1" applyFill="1" applyBorder="1" applyAlignment="1">
      <alignment horizontal="center"/>
    </xf>
    <xf numFmtId="9" fontId="20" fillId="0" borderId="0" xfId="0" applyNumberFormat="1" applyFont="1" applyFill="1" applyAlignment="1">
      <alignment horizontal="center"/>
    </xf>
    <xf numFmtId="9" fontId="20" fillId="0" borderId="0" xfId="3" applyFont="1" applyFill="1" applyAlignment="1">
      <alignment horizontal="center"/>
    </xf>
    <xf numFmtId="0" fontId="22" fillId="0" borderId="0" xfId="0" applyFont="1"/>
    <xf numFmtId="0" fontId="10" fillId="5" borderId="44" xfId="0" applyFont="1" applyFill="1" applyBorder="1" applyAlignment="1">
      <alignment horizontal="center" vertical="center"/>
    </xf>
    <xf numFmtId="0" fontId="10" fillId="5" borderId="46" xfId="0" applyFont="1" applyFill="1" applyBorder="1" applyAlignment="1">
      <alignment horizontal="center" vertical="center"/>
    </xf>
    <xf numFmtId="0" fontId="10" fillId="4" borderId="47" xfId="0" applyFont="1" applyFill="1" applyBorder="1" applyAlignment="1">
      <alignment horizontal="center" vertical="center"/>
    </xf>
    <xf numFmtId="0" fontId="10" fillId="4" borderId="46" xfId="0" applyFont="1" applyFill="1" applyBorder="1" applyAlignment="1">
      <alignment horizontal="center" vertical="center"/>
    </xf>
    <xf numFmtId="0" fontId="10" fillId="5" borderId="47" xfId="0" applyFont="1" applyFill="1" applyBorder="1" applyAlignment="1">
      <alignment horizontal="center" vertical="center"/>
    </xf>
    <xf numFmtId="0" fontId="10" fillId="5" borderId="45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right" vertical="center"/>
    </xf>
    <xf numFmtId="0" fontId="0" fillId="4" borderId="44" xfId="0" applyFont="1" applyFill="1" applyBorder="1" applyAlignment="1">
      <alignment horizontal="right" vertical="center"/>
    </xf>
    <xf numFmtId="0" fontId="12" fillId="4" borderId="28" xfId="0" applyFont="1" applyFill="1" applyBorder="1" applyAlignment="1">
      <alignment horizontal="right" vertical="center"/>
    </xf>
    <xf numFmtId="0" fontId="0" fillId="4" borderId="51" xfId="0" applyFont="1" applyFill="1" applyBorder="1" applyAlignment="1">
      <alignment horizontal="right" vertical="center"/>
    </xf>
    <xf numFmtId="0" fontId="6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Font="1" applyAlignment="1">
      <alignment horizontal="left"/>
    </xf>
    <xf numFmtId="9" fontId="12" fillId="5" borderId="53" xfId="0" applyNumberFormat="1" applyFont="1" applyFill="1" applyBorder="1" applyAlignment="1">
      <alignment horizontal="center" vertical="center"/>
    </xf>
    <xf numFmtId="0" fontId="18" fillId="3" borderId="23" xfId="0" applyFont="1" applyFill="1" applyBorder="1" applyAlignment="1"/>
    <xf numFmtId="0" fontId="10" fillId="5" borderId="54" xfId="0" applyFont="1" applyFill="1" applyBorder="1" applyAlignment="1">
      <alignment horizontal="center" vertical="center"/>
    </xf>
    <xf numFmtId="0" fontId="11" fillId="4" borderId="37" xfId="0" applyFont="1" applyFill="1" applyBorder="1" applyAlignment="1">
      <alignment horizontal="center"/>
    </xf>
    <xf numFmtId="0" fontId="11" fillId="4" borderId="33" xfId="0" applyFont="1" applyFill="1" applyBorder="1" applyAlignment="1">
      <alignment horizontal="center"/>
    </xf>
    <xf numFmtId="9" fontId="12" fillId="4" borderId="26" xfId="0" applyNumberFormat="1" applyFont="1" applyFill="1" applyBorder="1" applyAlignment="1">
      <alignment horizontal="center" vertical="center"/>
    </xf>
    <xf numFmtId="0" fontId="10" fillId="4" borderId="43" xfId="0" applyFont="1" applyFill="1" applyBorder="1" applyAlignment="1">
      <alignment horizontal="center" vertical="center"/>
    </xf>
    <xf numFmtId="0" fontId="0" fillId="2" borderId="57" xfId="0" applyFill="1" applyBorder="1" applyAlignment="1">
      <alignment horizontal="center"/>
    </xf>
    <xf numFmtId="9" fontId="11" fillId="0" borderId="0" xfId="3" applyFont="1" applyFill="1" applyAlignment="1">
      <alignment horizontal="center"/>
    </xf>
    <xf numFmtId="0" fontId="24" fillId="3" borderId="0" xfId="0" applyFont="1" applyFill="1"/>
    <xf numFmtId="0" fontId="25" fillId="3" borderId="0" xfId="0" applyFont="1" applyFill="1"/>
    <xf numFmtId="0" fontId="25" fillId="3" borderId="0" xfId="0" applyFont="1" applyFill="1" applyAlignment="1">
      <alignment horizontal="right"/>
    </xf>
    <xf numFmtId="0" fontId="26" fillId="0" borderId="0" xfId="0" pivotButton="1" applyFont="1"/>
    <xf numFmtId="0" fontId="26" fillId="0" borderId="0" xfId="0" applyFont="1"/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left"/>
    </xf>
    <xf numFmtId="0" fontId="26" fillId="0" borderId="0" xfId="0" applyNumberFormat="1" applyFont="1"/>
    <xf numFmtId="0" fontId="26" fillId="0" borderId="0" xfId="0" applyFont="1" applyAlignment="1">
      <alignment horizontal="right"/>
    </xf>
    <xf numFmtId="10" fontId="26" fillId="0" borderId="0" xfId="0" applyNumberFormat="1" applyFont="1"/>
    <xf numFmtId="0" fontId="26" fillId="0" borderId="0" xfId="0" applyFont="1" applyAlignment="1">
      <alignment wrapText="1"/>
    </xf>
    <xf numFmtId="9" fontId="26" fillId="0" borderId="0" xfId="0" applyNumberFormat="1" applyFont="1"/>
    <xf numFmtId="164" fontId="26" fillId="0" borderId="0" xfId="0" applyNumberFormat="1" applyFont="1"/>
    <xf numFmtId="9" fontId="26" fillId="0" borderId="0" xfId="3" applyFont="1"/>
    <xf numFmtId="2" fontId="26" fillId="0" borderId="0" xfId="0" applyNumberFormat="1" applyFont="1"/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right"/>
    </xf>
    <xf numFmtId="0" fontId="21" fillId="3" borderId="0" xfId="0" applyFont="1" applyFill="1" applyAlignment="1">
      <alignment horizontal="center"/>
    </xf>
    <xf numFmtId="9" fontId="11" fillId="0" borderId="0" xfId="3" applyFont="1" applyFill="1" applyAlignment="1">
      <alignment horizontal="center"/>
    </xf>
    <xf numFmtId="0" fontId="23" fillId="4" borderId="0" xfId="0" applyFont="1" applyFill="1" applyAlignment="1">
      <alignment horizontal="center"/>
    </xf>
    <xf numFmtId="9" fontId="20" fillId="0" borderId="40" xfId="3" applyFont="1" applyFill="1" applyBorder="1" applyAlignment="1">
      <alignment horizontal="center"/>
    </xf>
    <xf numFmtId="9" fontId="20" fillId="0" borderId="40" xfId="0" applyNumberFormat="1" applyFont="1" applyFill="1" applyBorder="1" applyAlignment="1">
      <alignment horizontal="center"/>
    </xf>
    <xf numFmtId="0" fontId="12" fillId="4" borderId="36" xfId="0" applyFont="1" applyFill="1" applyBorder="1" applyAlignment="1">
      <alignment horizontal="center"/>
    </xf>
    <xf numFmtId="0" fontId="12" fillId="4" borderId="32" xfId="0" applyFont="1" applyFill="1" applyBorder="1" applyAlignment="1">
      <alignment horizontal="center"/>
    </xf>
    <xf numFmtId="0" fontId="12" fillId="0" borderId="36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1" fillId="4" borderId="26" xfId="0" applyFont="1" applyFill="1" applyBorder="1" applyAlignment="1">
      <alignment horizontal="right" vertical="center"/>
    </xf>
    <xf numFmtId="0" fontId="11" fillId="4" borderId="16" xfId="0" applyFont="1" applyFill="1" applyBorder="1" applyAlignment="1">
      <alignment horizontal="right" vertical="center"/>
    </xf>
    <xf numFmtId="0" fontId="11" fillId="4" borderId="11" xfId="0" applyFont="1" applyFill="1" applyBorder="1" applyAlignment="1">
      <alignment horizontal="right" vertical="center"/>
    </xf>
    <xf numFmtId="164" fontId="14" fillId="5" borderId="10" xfId="2" applyNumberFormat="1" applyFont="1" applyFill="1" applyBorder="1" applyAlignment="1">
      <alignment horizontal="center" vertical="center"/>
    </xf>
    <xf numFmtId="164" fontId="14" fillId="5" borderId="22" xfId="2" applyNumberFormat="1" applyFont="1" applyFill="1" applyBorder="1" applyAlignment="1">
      <alignment horizontal="center" vertical="center"/>
    </xf>
    <xf numFmtId="0" fontId="13" fillId="4" borderId="14" xfId="0" applyFont="1" applyFill="1" applyBorder="1" applyAlignment="1">
      <alignment horizontal="right" vertical="center"/>
    </xf>
    <xf numFmtId="0" fontId="13" fillId="4" borderId="16" xfId="0" applyFont="1" applyFill="1" applyBorder="1" applyAlignment="1">
      <alignment horizontal="right" vertical="center"/>
    </xf>
    <xf numFmtId="0" fontId="13" fillId="4" borderId="49" xfId="0" applyFont="1" applyFill="1" applyBorder="1" applyAlignment="1">
      <alignment horizontal="center" vertical="center"/>
    </xf>
    <xf numFmtId="0" fontId="13" fillId="4" borderId="25" xfId="0" applyFont="1" applyFill="1" applyBorder="1" applyAlignment="1">
      <alignment horizontal="center" vertical="center"/>
    </xf>
    <xf numFmtId="0" fontId="13" fillId="4" borderId="50" xfId="0" applyFont="1" applyFill="1" applyBorder="1" applyAlignment="1">
      <alignment horizontal="center" vertical="center"/>
    </xf>
    <xf numFmtId="0" fontId="13" fillId="4" borderId="49" xfId="0" applyFont="1" applyFill="1" applyBorder="1" applyAlignment="1">
      <alignment horizontal="right" vertical="center"/>
    </xf>
    <xf numFmtId="0" fontId="13" fillId="4" borderId="25" xfId="0" applyFont="1" applyFill="1" applyBorder="1" applyAlignment="1">
      <alignment horizontal="right" vertical="center"/>
    </xf>
    <xf numFmtId="0" fontId="13" fillId="4" borderId="56" xfId="0" applyFont="1" applyFill="1" applyBorder="1" applyAlignment="1">
      <alignment horizontal="right" vertical="center"/>
    </xf>
    <xf numFmtId="0" fontId="13" fillId="4" borderId="15" xfId="0" applyFont="1" applyFill="1" applyBorder="1" applyAlignment="1">
      <alignment horizontal="right" vertical="center"/>
    </xf>
    <xf numFmtId="0" fontId="14" fillId="5" borderId="9" xfId="2" applyNumberFormat="1" applyFont="1" applyFill="1" applyBorder="1" applyAlignment="1">
      <alignment horizontal="center" vertical="center"/>
    </xf>
    <xf numFmtId="0" fontId="14" fillId="5" borderId="21" xfId="2" applyNumberFormat="1" applyFont="1" applyFill="1" applyBorder="1" applyAlignment="1">
      <alignment horizontal="center" vertical="center"/>
    </xf>
    <xf numFmtId="0" fontId="11" fillId="4" borderId="14" xfId="0" applyFont="1" applyFill="1" applyBorder="1" applyAlignment="1">
      <alignment horizontal="right" vertical="center"/>
    </xf>
    <xf numFmtId="0" fontId="11" fillId="4" borderId="43" xfId="0" applyFont="1" applyFill="1" applyBorder="1" applyAlignment="1">
      <alignment horizontal="right" vertical="center"/>
    </xf>
    <xf numFmtId="0" fontId="14" fillId="5" borderId="12" xfId="2" applyNumberFormat="1" applyFont="1" applyFill="1" applyBorder="1" applyAlignment="1">
      <alignment horizontal="center" vertical="center"/>
    </xf>
    <xf numFmtId="164" fontId="14" fillId="5" borderId="13" xfId="2" applyNumberFormat="1" applyFont="1" applyFill="1" applyBorder="1" applyAlignment="1">
      <alignment horizontal="center" vertical="center"/>
    </xf>
    <xf numFmtId="0" fontId="12" fillId="0" borderId="32" xfId="0" applyFont="1" applyBorder="1" applyAlignment="1">
      <alignment horizontal="center"/>
    </xf>
    <xf numFmtId="0" fontId="13" fillId="4" borderId="11" xfId="0" applyFont="1" applyFill="1" applyBorder="1" applyAlignment="1">
      <alignment horizontal="right" vertical="center"/>
    </xf>
    <xf numFmtId="0" fontId="13" fillId="4" borderId="16" xfId="0" applyFont="1" applyFill="1" applyBorder="1" applyAlignment="1">
      <alignment horizontal="center" vertical="center"/>
    </xf>
    <xf numFmtId="0" fontId="13" fillId="4" borderId="48" xfId="0" applyFont="1" applyFill="1" applyBorder="1" applyAlignment="1">
      <alignment horizontal="center" vertical="center"/>
    </xf>
    <xf numFmtId="0" fontId="14" fillId="5" borderId="20" xfId="2" applyNumberFormat="1" applyFont="1" applyFill="1" applyBorder="1" applyAlignment="1">
      <alignment horizontal="center" vertical="center"/>
    </xf>
    <xf numFmtId="164" fontId="14" fillId="5" borderId="19" xfId="2" applyNumberFormat="1" applyFont="1" applyFill="1" applyBorder="1" applyAlignment="1">
      <alignment horizontal="center" vertical="center"/>
    </xf>
    <xf numFmtId="0" fontId="14" fillId="5" borderId="7" xfId="2" applyNumberFormat="1" applyFont="1" applyFill="1" applyBorder="1" applyAlignment="1">
      <alignment horizontal="center" vertical="center"/>
    </xf>
    <xf numFmtId="164" fontId="14" fillId="5" borderId="8" xfId="2" applyNumberFormat="1" applyFont="1" applyFill="1" applyBorder="1" applyAlignment="1">
      <alignment horizontal="center" vertical="center"/>
    </xf>
    <xf numFmtId="0" fontId="14" fillId="5" borderId="55" xfId="2" applyNumberFormat="1" applyFont="1" applyFill="1" applyBorder="1" applyAlignment="1">
      <alignment horizontal="center" vertical="center"/>
    </xf>
    <xf numFmtId="164" fontId="14" fillId="5" borderId="52" xfId="2" applyNumberFormat="1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/>
    </xf>
    <xf numFmtId="0" fontId="13" fillId="4" borderId="43" xfId="0" applyFont="1" applyFill="1" applyBorder="1" applyAlignment="1">
      <alignment horizontal="right" vertical="center"/>
    </xf>
    <xf numFmtId="0" fontId="27" fillId="8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/>
    </xf>
  </cellXfs>
  <cellStyles count="4">
    <cellStyle name="Comma" xfId="2" builtinId="3"/>
    <cellStyle name="Hyperlink" xfId="1" builtinId="8"/>
    <cellStyle name="Normal" xfId="0" builtinId="0"/>
    <cellStyle name="Percent" xfId="3" builtinId="5"/>
  </cellStyles>
  <dxfs count="195">
    <dxf>
      <alignment horizontal="right"/>
    </dxf>
    <dxf>
      <alignment horizontal="right"/>
    </dxf>
    <dxf>
      <numFmt numFmtId="14" formatCode="0.00%"/>
    </dxf>
    <dxf>
      <numFmt numFmtId="165" formatCode="0.0%"/>
    </dxf>
    <dxf>
      <numFmt numFmtId="13" formatCode="0%"/>
    </dxf>
    <dxf>
      <numFmt numFmtId="165" formatCode="0.0%"/>
    </dxf>
    <dxf>
      <numFmt numFmtId="13" formatCode="0%"/>
    </dxf>
    <dxf>
      <alignment horizontal="right"/>
    </dxf>
    <dxf>
      <alignment horizontal="right"/>
    </dxf>
    <dxf>
      <alignment horizontal="right"/>
    </dxf>
    <dxf>
      <alignment horizontal="right"/>
    </dxf>
    <dxf>
      <numFmt numFmtId="14" formatCode="0.00%"/>
    </dxf>
    <dxf>
      <alignment horizontal="right"/>
    </dxf>
    <dxf>
      <alignment horizontal="right"/>
    </dxf>
    <dxf>
      <numFmt numFmtId="14" formatCode="0.00%"/>
    </dxf>
    <dxf>
      <numFmt numFmtId="165" formatCode="0.0%"/>
    </dxf>
    <dxf>
      <numFmt numFmtId="13" formatCode="0%"/>
    </dxf>
    <dxf>
      <numFmt numFmtId="165" formatCode="0.0%"/>
    </dxf>
    <dxf>
      <numFmt numFmtId="13" formatCode="0%"/>
    </dxf>
    <dxf>
      <numFmt numFmtId="165" formatCode="0.0%"/>
    </dxf>
    <dxf>
      <numFmt numFmtId="13" formatCode="0%"/>
    </dxf>
    <dxf>
      <alignment horizontal="right"/>
    </dxf>
    <dxf>
      <alignment horizontal="right"/>
    </dxf>
    <dxf>
      <numFmt numFmtId="14" formatCode="0.00%"/>
    </dxf>
    <dxf>
      <numFmt numFmtId="165" formatCode="0.0%"/>
    </dxf>
    <dxf>
      <numFmt numFmtId="13" formatCode="0%"/>
    </dxf>
    <dxf>
      <numFmt numFmtId="165" formatCode="0.0%"/>
    </dxf>
    <dxf>
      <numFmt numFmtId="13" formatCode="0%"/>
    </dxf>
    <dxf>
      <numFmt numFmtId="165" formatCode="0.0%"/>
    </dxf>
    <dxf>
      <numFmt numFmtId="13" formatCode="0%"/>
    </dxf>
    <dxf>
      <numFmt numFmtId="165" formatCode="0.0%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2" formatCode="0.00"/>
    </dxf>
    <dxf>
      <numFmt numFmtId="165" formatCode="0.0%"/>
    </dxf>
    <dxf>
      <numFmt numFmtId="13" formatCode="0%"/>
    </dxf>
    <dxf>
      <numFmt numFmtId="165" formatCode="0.0%"/>
    </dxf>
    <dxf>
      <numFmt numFmtId="13" formatCode="0%"/>
    </dxf>
    <dxf>
      <numFmt numFmtId="165" formatCode="0.0%"/>
    </dxf>
    <dxf>
      <numFmt numFmtId="13" formatCode="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right"/>
    </dxf>
    <dxf>
      <alignment horizontal="right"/>
    </dxf>
    <dxf>
      <alignment horizontal="right"/>
    </dxf>
    <dxf>
      <alignment horizontal="right"/>
    </dxf>
    <dxf>
      <numFmt numFmtId="14" formatCode="0.00%"/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wrapText="1"/>
    </dxf>
    <dxf>
      <alignment wrapText="1"/>
    </dxf>
    <dxf>
      <numFmt numFmtId="164" formatCode="0.0"/>
    </dxf>
    <dxf>
      <numFmt numFmtId="1" formatCode="0"/>
    </dxf>
    <dxf>
      <numFmt numFmtId="164" formatCode="0.0"/>
    </dxf>
    <dxf>
      <numFmt numFmtId="2" formatCode="0.00"/>
    </dxf>
    <dxf>
      <numFmt numFmtId="166" formatCode="0.000"/>
    </dxf>
    <dxf>
      <numFmt numFmtId="167" formatCode="0.0000"/>
    </dxf>
    <dxf>
      <numFmt numFmtId="168" formatCode="0.00000"/>
    </dxf>
    <dxf>
      <numFmt numFmtId="169" formatCode="0.000000"/>
    </dxf>
    <dxf>
      <numFmt numFmtId="170" formatCode="0.0000000"/>
    </dxf>
    <dxf>
      <numFmt numFmtId="13" formatCode="0%"/>
    </dxf>
    <dxf>
      <numFmt numFmtId="165" formatCode="0.0%"/>
    </dxf>
    <dxf>
      <numFmt numFmtId="14" formatCode="0.00%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numFmt numFmtId="165" formatCode="0.0%"/>
    </dxf>
    <dxf>
      <numFmt numFmtId="13" formatCode="0%"/>
    </dxf>
    <dxf>
      <numFmt numFmtId="165" formatCode="0.0%"/>
    </dxf>
    <dxf>
      <numFmt numFmtId="13" formatCode="0%"/>
    </dxf>
    <dxf>
      <numFmt numFmtId="165" formatCode="0.0%"/>
    </dxf>
    <dxf>
      <numFmt numFmtId="2" formatCode="0.00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numFmt numFmtId="13" formatCode="0%"/>
    </dxf>
    <dxf>
      <numFmt numFmtId="165" formatCode="0.0%"/>
    </dxf>
    <dxf>
      <numFmt numFmtId="13" formatCode="0%"/>
    </dxf>
    <dxf>
      <numFmt numFmtId="165" formatCode="0.0%"/>
    </dxf>
    <dxf>
      <numFmt numFmtId="13" formatCode="0%"/>
    </dxf>
    <dxf>
      <numFmt numFmtId="165" formatCode="0.0%"/>
    </dxf>
    <dxf>
      <numFmt numFmtId="13" formatCode="0%"/>
    </dxf>
    <dxf>
      <numFmt numFmtId="165" formatCode="0.0%"/>
    </dxf>
    <dxf>
      <numFmt numFmtId="14" formatCode="0.00%"/>
    </dxf>
    <dxf>
      <alignment horizontal="right"/>
    </dxf>
    <dxf>
      <alignment horizontal="right"/>
    </dxf>
    <dxf>
      <numFmt numFmtId="13" formatCode="0%"/>
    </dxf>
    <dxf>
      <numFmt numFmtId="165" formatCode="0.0%"/>
    </dxf>
    <dxf>
      <numFmt numFmtId="13" formatCode="0%"/>
    </dxf>
    <dxf>
      <numFmt numFmtId="165" formatCode="0.0%"/>
    </dxf>
    <dxf>
      <numFmt numFmtId="13" formatCode="0%"/>
    </dxf>
    <dxf>
      <numFmt numFmtId="165" formatCode="0.0%"/>
    </dxf>
    <dxf>
      <numFmt numFmtId="14" formatCode="0.00%"/>
    </dxf>
    <dxf>
      <alignment horizontal="right"/>
    </dxf>
    <dxf>
      <alignment horizontal="right"/>
    </dxf>
    <dxf>
      <numFmt numFmtId="14" formatCode="0.00%"/>
    </dxf>
    <dxf>
      <alignment horizontal="right"/>
    </dxf>
    <dxf>
      <alignment horizontal="right"/>
    </dxf>
    <dxf>
      <alignment horizontal="right"/>
    </dxf>
    <dxf>
      <alignment horizontal="right"/>
    </dxf>
    <dxf>
      <numFmt numFmtId="13" formatCode="0%"/>
    </dxf>
    <dxf>
      <numFmt numFmtId="165" formatCode="0.0%"/>
    </dxf>
    <dxf>
      <numFmt numFmtId="13" formatCode="0%"/>
    </dxf>
    <dxf>
      <numFmt numFmtId="165" formatCode="0.0%"/>
    </dxf>
    <dxf>
      <numFmt numFmtId="14" formatCode="0.00%"/>
    </dxf>
    <dxf>
      <alignment horizontal="right"/>
    </dxf>
    <dxf>
      <alignment horizontal="right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colors>
    <mruColors>
      <color rgb="FFFF9900"/>
      <color rgb="FFFFA7A9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39" Type="http://schemas.openxmlformats.org/officeDocument/2006/relationships/customXml" Target="../customXml/item23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5.xml"/><Relationship Id="rId34" Type="http://schemas.openxmlformats.org/officeDocument/2006/relationships/customXml" Target="../customXml/item18.xml"/><Relationship Id="rId42" Type="http://schemas.openxmlformats.org/officeDocument/2006/relationships/customXml" Target="../customXml/item26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38" Type="http://schemas.openxmlformats.org/officeDocument/2006/relationships/customXml" Target="../customXml/item2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41" Type="http://schemas.openxmlformats.org/officeDocument/2006/relationships/customXml" Target="../customXml/item2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37" Type="http://schemas.openxmlformats.org/officeDocument/2006/relationships/customXml" Target="../customXml/item21.xml"/><Relationship Id="rId40" Type="http://schemas.openxmlformats.org/officeDocument/2006/relationships/customXml" Target="../customXml/item24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36" Type="http://schemas.openxmlformats.org/officeDocument/2006/relationships/customXml" Target="../customXml/item20.xml"/><Relationship Id="rId10" Type="http://schemas.openxmlformats.org/officeDocument/2006/relationships/pivotCacheDefinition" Target="pivotCache/pivotCacheDefinition2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35" Type="http://schemas.openxmlformats.org/officeDocument/2006/relationships/customXml" Target="../customXml/item19.xml"/><Relationship Id="rId43" Type="http://schemas.openxmlformats.org/officeDocument/2006/relationships/customXml" Target="../customXml/item27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1.4014233826939662E-2"/>
          <c:w val="0.97549020682879328"/>
          <c:h val="0.96146085697591588"/>
        </c:manualLayout>
      </c:layout>
      <c:bubbleChart>
        <c:varyColors val="0"/>
        <c:ser>
          <c:idx val="0"/>
          <c:order val="0"/>
          <c:tx>
            <c:strRef>
              <c:f>'Chart Data'!$B$2</c:f>
              <c:strCache>
                <c:ptCount val="1"/>
                <c:pt idx="0">
                  <c:v>Zone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8"/>
            <c:invertIfNegative val="0"/>
            <c:bubble3D val="1"/>
            <c:extLst>
              <c:ext xmlns:c16="http://schemas.microsoft.com/office/drawing/2014/chart" uri="{C3380CC4-5D6E-409C-BE32-E72D297353CC}">
                <c16:uniqueId val="{00000000-C66B-422C-B6C7-7450F3FAE5AC}"/>
              </c:ext>
            </c:extLst>
          </c:dPt>
          <c:dLbls>
            <c:dLbl>
              <c:idx val="0"/>
              <c:layout>
                <c:manualLayout>
                  <c:x val="-0.20247332224565839"/>
                  <c:y val="8.5292263998915027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5CF0126-09E6-4509-BF28-C675B614645E}" type="CELLRANGE">
                      <a:rPr lang="en-US"/>
                      <a:pPr>
                        <a:defRPr sz="1200" b="1"/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13687204835684"/>
                      <c:h val="8.8449848024316116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C66B-422C-B6C7-7450F3FAE5AC}"/>
                </c:ext>
              </c:extLst>
            </c:dLbl>
            <c:dLbl>
              <c:idx val="1"/>
              <c:layout>
                <c:manualLayout>
                  <c:x val="-0.20655527888727832"/>
                  <c:y val="8.424909652250907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B055DDF-4195-4B4C-B12D-8F90AC5C1032}" type="CELLRANGE">
                      <a:rPr lang="en-US"/>
                      <a:pPr>
                        <a:defRPr sz="1200" b="1"/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003878591844339"/>
                      <c:h val="8.2370820668693015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C66B-422C-B6C7-7450F3FAE5AC}"/>
                </c:ext>
              </c:extLst>
            </c:dLbl>
            <c:dLbl>
              <c:idx val="2"/>
              <c:layout>
                <c:manualLayout>
                  <c:x val="-0.21591362001696032"/>
                  <c:y val="9.4882129095565149E-2"/>
                </c:manualLayout>
              </c:layout>
              <c:tx>
                <c:strRef>
                  <c:f>'Chart Data'!$K$5</c:f>
                  <c:strCache>
                    <c:ptCount val="1"/>
                    <c:pt idx="0">
                      <c:v>5 for 5, 112 yrds (10%)</c:v>
                    </c:pt>
                  </c:strCache>
                </c:strRef>
              </c:tx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870885135331837"/>
                      <c:h val="7.8318135764944272E-2"/>
                    </c:manualLayout>
                  </c15:layout>
                  <c15:dlblFieldTable>
                    <c15:dlblFTEntry>
                      <c15:txfldGUID>{B8D2B9CE-34A4-473C-93E5-01870CC37553}</c15:txfldGUID>
                      <c15:f>'Chart Data'!$K$5</c15:f>
                      <c15:dlblFieldTableCache>
                        <c:ptCount val="1"/>
                        <c:pt idx="0">
                          <c:v>5 for 5, 112 yrds (10%)</c:v>
                        </c:pt>
                      </c15:dlblFieldTableCache>
                    </c15:dlblFTEntry>
                  </c15:dlblFieldTable>
                  <c15:showDataLabelsRange val="1"/>
                </c:ext>
                <c:ext xmlns:c16="http://schemas.microsoft.com/office/drawing/2014/chart" uri="{C3380CC4-5D6E-409C-BE32-E72D297353CC}">
                  <c16:uniqueId val="{00000003-C66B-422C-B6C7-7450F3FAE5AC}"/>
                </c:ext>
              </c:extLst>
            </c:dLbl>
            <c:dLbl>
              <c:idx val="3"/>
              <c:layout>
                <c:manualLayout>
                  <c:x val="-7.2084547814917511E-3"/>
                  <c:y val="-8.5020861753983032E-2"/>
                </c:manualLayout>
              </c:layout>
              <c:tx>
                <c:strRef>
                  <c:f>'Chart Data'!$K$6</c:f>
                  <c:strCache>
                    <c:ptCount val="1"/>
                    <c:pt idx="0">
                      <c:v>0 for 20, -114 yrds (41%)</c:v>
                    </c:pt>
                  </c:strCache>
                </c:strRef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{4818C9E3-BCBA-4710-AD41-C3BCF65BE34B}</c15:txfldGUID>
                      <c15:f>'Chart Data'!$K$6</c15:f>
                      <c15:dlblFieldTableCache>
                        <c:ptCount val="1"/>
                        <c:pt idx="0">
                          <c:v>0 for 20, -114 yrds (41%)</c:v>
                        </c:pt>
                      </c15:dlblFieldTableCache>
                    </c15:dlblFTEntry>
                  </c15:dlblFieldTable>
                  <c15:showDataLabelsRange val="1"/>
                </c:ext>
                <c:ext xmlns:c16="http://schemas.microsoft.com/office/drawing/2014/chart" uri="{C3380CC4-5D6E-409C-BE32-E72D297353CC}">
                  <c16:uniqueId val="{00000004-C66B-422C-B6C7-7450F3FAE5AC}"/>
                </c:ext>
              </c:extLst>
            </c:dLbl>
            <c:dLbl>
              <c:idx val="4"/>
              <c:layout>
                <c:manualLayout>
                  <c:x val="3.1056171200068025E-2"/>
                  <c:y val="9.005480697891479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B7BA98D-7C9D-429D-A4B8-7ACA030F4E46}" type="CELLRANGE">
                      <a:rPr lang="en-US"/>
                      <a:pPr>
                        <a:defRPr sz="1200" b="1"/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982599638802339"/>
                      <c:h val="0.1006079027355623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C66B-422C-B6C7-7450F3FAE5AC}"/>
                </c:ext>
              </c:extLst>
            </c:dLbl>
            <c:dLbl>
              <c:idx val="5"/>
              <c:layout>
                <c:manualLayout>
                  <c:x val="9.8793717933654494E-3"/>
                  <c:y val="9.1725183288259182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F2AB79E-0947-4A51-B80B-7B3612A80D5C}" type="CELLRANGE">
                      <a:rPr lang="en-US"/>
                      <a:pPr>
                        <a:defRPr sz="1200" b="1"/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328271832760832"/>
                      <c:h val="9.2502532928064846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C66B-422C-B6C7-7450F3FAE5AC}"/>
                </c:ext>
              </c:extLst>
            </c:dLbl>
            <c:dLbl>
              <c:idx val="6"/>
              <c:layout>
                <c:manualLayout>
                  <c:x val="1.7337843801174795E-2"/>
                  <c:y val="8.3070626809946632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6EAD2E2-5B1D-4A90-A178-39DFEEA0B933}" type="CELLRANGE">
                      <a:rPr lang="en-US"/>
                      <a:pPr>
                        <a:defRPr sz="1200" b="1"/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594258745785835"/>
                      <c:h val="8.439716312056737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C66B-422C-B6C7-7450F3FAE5AC}"/>
                </c:ext>
              </c:extLst>
            </c:dLbl>
            <c:dLbl>
              <c:idx val="7"/>
              <c:layout>
                <c:manualLayout>
                  <c:x val="1.5909195998425208E-2"/>
                  <c:y val="0.10023646144660771"/>
                </c:manualLayout>
              </c:layout>
              <c:tx>
                <c:strRef>
                  <c:f>'Chart Data'!$K$10</c:f>
                  <c:strCache>
                    <c:ptCount val="1"/>
                    <c:pt idx="0">
                      <c:v>5 for 5, 48 yrds (10%)</c:v>
                    </c:pt>
                  </c:strCache>
                </c:strRef>
              </c:tx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364635112825835"/>
                      <c:h val="8.034442654135189E-2"/>
                    </c:manualLayout>
                  </c15:layout>
                  <c15:dlblFieldTable>
                    <c15:dlblFTEntry>
                      <c15:txfldGUID>{BD7BA795-66A6-4BEE-860A-EA7477A7A8FA}</c15:txfldGUID>
                      <c15:f>'Chart Data'!$K$10</c15:f>
                      <c15:dlblFieldTableCache>
                        <c:ptCount val="1"/>
                        <c:pt idx="0">
                          <c:v>5 for 5, 48 yrds (10%)</c:v>
                        </c:pt>
                      </c15:dlblFieldTableCache>
                    </c15:dlblFTEntry>
                  </c15:dlblFieldTable>
                  <c15:showDataLabelsRange val="1"/>
                </c:ext>
                <c:ext xmlns:c16="http://schemas.microsoft.com/office/drawing/2014/chart" uri="{C3380CC4-5D6E-409C-BE32-E72D297353CC}">
                  <c16:uniqueId val="{00000008-C66B-422C-B6C7-7450F3FAE5AC}"/>
                </c:ext>
              </c:extLst>
            </c:dLbl>
            <c:dLbl>
              <c:idx val="8"/>
              <c:layout>
                <c:manualLayout>
                  <c:x val="-7.2599877944907424E-4"/>
                  <c:y val="8.362599841339928E-2"/>
                </c:manualLayout>
              </c:layout>
              <c:tx>
                <c:strRef>
                  <c:f>'Chart Data'!$K$11</c:f>
                  <c:strCache>
                    <c:ptCount val="1"/>
                    <c:pt idx="0">
                      <c:v>7 for 7, 156 yrds (14%)</c:v>
                    </c:pt>
                  </c:strCache>
                </c:strRef>
              </c:tx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502063064582982"/>
                      <c:h val="9.0476130161820753E-2"/>
                    </c:manualLayout>
                  </c15:layout>
                  <c15:dlblFieldTable>
                    <c15:dlblFTEntry>
                      <c15:txfldGUID>{CE85A862-BD5D-4164-8874-0F270670661A}</c15:txfldGUID>
                      <c15:f>'Chart Data'!$K$11</c15:f>
                      <c15:dlblFieldTableCache>
                        <c:ptCount val="1"/>
                        <c:pt idx="0">
                          <c:v>7 for 7, 156 yrds (14%)</c:v>
                        </c:pt>
                      </c15:dlblFieldTableCache>
                    </c15:dlblFTEntry>
                  </c15:dlblFieldTable>
                  <c15:showDataLabelsRange val="1"/>
                </c:ext>
                <c:ext xmlns:c16="http://schemas.microsoft.com/office/drawing/2014/chart" uri="{C3380CC4-5D6E-409C-BE32-E72D297353CC}">
                  <c16:uniqueId val="{00000000-C66B-422C-B6C7-7450F3FAE5AC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'Chart Data'!$A$3:$A$11</c:f>
              <c:numCache>
                <c:formatCode>General</c:formatCode>
                <c:ptCount val="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1.5</c:v>
                </c:pt>
                <c:pt idx="4">
                  <c:v>1.5</c:v>
                </c:pt>
                <c:pt idx="5">
                  <c:v>1.5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</c:numCache>
            </c:numRef>
          </c:xVal>
          <c:yVal>
            <c:numRef>
              <c:f>'Chart Data'!$B$3:$B$11</c:f>
              <c:numCache>
                <c:formatCode>General</c:formatCode>
                <c:ptCount val="9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0.5</c:v>
                </c:pt>
                <c:pt idx="4">
                  <c:v>1.5</c:v>
                </c:pt>
                <c:pt idx="5">
                  <c:v>2.5</c:v>
                </c:pt>
                <c:pt idx="6">
                  <c:v>0.5</c:v>
                </c:pt>
                <c:pt idx="7">
                  <c:v>1.5</c:v>
                </c:pt>
                <c:pt idx="8">
                  <c:v>2.5</c:v>
                </c:pt>
              </c:numCache>
            </c:numRef>
          </c:yVal>
          <c:bubbleSize>
            <c:numRef>
              <c:f>'Chart Data'!$C$3:$C$11</c:f>
              <c:numCache>
                <c:formatCode>General</c:formatCode>
                <c:ptCount val="9"/>
                <c:pt idx="0">
                  <c:v>7</c:v>
                </c:pt>
                <c:pt idx="1">
                  <c:v>2</c:v>
                </c:pt>
                <c:pt idx="2">
                  <c:v>5</c:v>
                </c:pt>
                <c:pt idx="3">
                  <c:v>20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5</c:v>
                </c:pt>
                <c:pt idx="8">
                  <c:v>7</c:v>
                </c:pt>
              </c:numCache>
            </c:numRef>
          </c:bubbleSize>
          <c:bubble3D val="1"/>
          <c:extLst>
            <c:ext xmlns:c15="http://schemas.microsoft.com/office/drawing/2012/chart" uri="{02D57815-91ED-43cb-92C2-25804820EDAC}">
              <c15:datalabelsRange>
                <c15:f>'Chart Data'!$K$3:$K$11</c15:f>
                <c15:dlblRangeCache>
                  <c:ptCount val="9"/>
                  <c:pt idx="0">
                    <c:v>7 for 7, 6 yrds (14%)</c:v>
                  </c:pt>
                  <c:pt idx="1">
                    <c:v>2 for 2, 16 yrds (4%)</c:v>
                  </c:pt>
                  <c:pt idx="2">
                    <c:v>5 for 5, 112 yrds (10%)</c:v>
                  </c:pt>
                  <c:pt idx="3">
                    <c:v>0 for 20, -114 yrds (41%)</c:v>
                  </c:pt>
                  <c:pt idx="4">
                    <c:v>0 for 0, 0 yrds (0%)</c:v>
                  </c:pt>
                  <c:pt idx="5">
                    <c:v>0 for 0, 0 yrds (0%)</c:v>
                  </c:pt>
                  <c:pt idx="6">
                    <c:v>3 for 3, 14 yrds (6%)</c:v>
                  </c:pt>
                  <c:pt idx="7">
                    <c:v>5 for 5, 48 yrds (10%)</c:v>
                  </c:pt>
                  <c:pt idx="8">
                    <c:v>7 for 7, 156 yrds (14%)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9-C66B-422C-B6C7-7450F3FAE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75"/>
        <c:showNegBubbles val="0"/>
        <c:sizeRepresents val="w"/>
        <c:axId val="160953088"/>
        <c:axId val="160954624"/>
      </c:bubbleChart>
      <c:valAx>
        <c:axId val="160953088"/>
        <c:scaling>
          <c:orientation val="minMax"/>
          <c:max val="3"/>
          <c:min val="0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60954624"/>
        <c:crossesAt val="0"/>
        <c:crossBetween val="midCat"/>
        <c:majorUnit val="1"/>
        <c:minorUnit val="1"/>
      </c:valAx>
      <c:valAx>
        <c:axId val="160954624"/>
        <c:scaling>
          <c:orientation val="minMax"/>
          <c:max val="3"/>
          <c:min val="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60953088"/>
        <c:crosses val="autoZero"/>
        <c:crossBetween val="midCat"/>
        <c:majorUnit val="1"/>
        <c:minorUnit val="0.5"/>
      </c:valAx>
      <c:spPr>
        <a:blipFill>
          <a:blip xmlns:r="http://schemas.openxmlformats.org/officeDocument/2006/relationships" r:embed="rId3"/>
          <a:stretch>
            <a:fillRect/>
          </a:stretch>
        </a:blipFill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574220101398292E-2"/>
          <c:y val="1.9868705173615216E-2"/>
          <c:w val="0.90898949209197033"/>
          <c:h val="0.873094300780716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Data'!$C$14</c:f>
              <c:strCache>
                <c:ptCount val="1"/>
                <c:pt idx="0">
                  <c:v>Att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039DCEB-1AF9-4059-9821-264FB85736B6}" type="CELLRANGE">
                      <a:rPr lang="en-US"/>
                      <a:pPr>
                        <a:defRPr sz="1400" b="1">
                          <a:solidFill>
                            <a:sysClr val="windowText" lastClr="0000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2852-4714-937D-F1EA2D0EED1C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DBD470D-F50F-4718-B6F1-B8B84B0FA219}" type="CELLRANGE">
                      <a:rPr lang="en-US"/>
                      <a:pPr>
                        <a:defRPr sz="1400" b="1">
                          <a:solidFill>
                            <a:sysClr val="windowText" lastClr="0000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2852-4714-937D-F1EA2D0EED1C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73AFE35-5756-458F-80CA-58AE936F3607}" type="CELLRANGE">
                      <a:rPr lang="en-US"/>
                      <a:pPr>
                        <a:defRPr sz="1400" b="1">
                          <a:solidFill>
                            <a:sysClr val="windowText" lastClr="0000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2852-4714-937D-F1EA2D0EED1C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4033B73-9343-43E7-9206-CE6254317E79}" type="CELLRANGE">
                      <a:rPr lang="en-US"/>
                      <a:pPr>
                        <a:defRPr sz="1400" b="1">
                          <a:solidFill>
                            <a:sysClr val="windowText" lastClr="0000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2852-4714-937D-F1EA2D0EED1C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19D5FC8-757C-4EF3-8EBB-86BC3BEFE204}" type="CELLRANGE">
                      <a:rPr lang="en-US"/>
                      <a:pPr>
                        <a:defRPr sz="1400" b="1">
                          <a:solidFill>
                            <a:sysClr val="windowText" lastClr="0000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2852-4714-937D-F1EA2D0EED1C}"/>
                </c:ext>
              </c:extLst>
            </c:dLbl>
            <c:dLbl>
              <c:idx val="5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9E711D4-9E08-455E-8B8B-E39FF799C41B}" type="CELLRANGE">
                      <a:rPr lang="en-US"/>
                      <a:pPr>
                        <a:defRPr sz="1400" b="1">
                          <a:solidFill>
                            <a:sysClr val="windowText" lastClr="0000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2852-4714-937D-F1EA2D0EE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'Chart Data'!$A$15:$B$20</c:f>
              <c:multiLvlStrCache>
                <c:ptCount val="6"/>
                <c:lvl>
                  <c:pt idx="0">
                    <c:v>C Gap</c:v>
                  </c:pt>
                  <c:pt idx="1">
                    <c:v>B Gap</c:v>
                  </c:pt>
                  <c:pt idx="2">
                    <c:v>A Gap</c:v>
                  </c:pt>
                  <c:pt idx="3">
                    <c:v>A Gap</c:v>
                  </c:pt>
                  <c:pt idx="4">
                    <c:v>B Gap</c:v>
                  </c:pt>
                  <c:pt idx="5">
                    <c:v>C Gap</c:v>
                  </c:pt>
                </c:lvl>
                <c:lvl>
                  <c:pt idx="0">
                    <c:v>Left</c:v>
                  </c:pt>
                  <c:pt idx="1">
                    <c:v>Left</c:v>
                  </c:pt>
                  <c:pt idx="2">
                    <c:v>Left</c:v>
                  </c:pt>
                  <c:pt idx="3">
                    <c:v>Right</c:v>
                  </c:pt>
                  <c:pt idx="4">
                    <c:v>Right</c:v>
                  </c:pt>
                  <c:pt idx="5">
                    <c:v>Right</c:v>
                  </c:pt>
                </c:lvl>
              </c:multiLvlStrCache>
            </c:multiLvlStrRef>
          </c:cat>
          <c:val>
            <c:numRef>
              <c:f>'Chart Data'!$C$15:$C$20</c:f>
              <c:numCache>
                <c:formatCode>General</c:formatCode>
                <c:ptCount val="6"/>
                <c:pt idx="0">
                  <c:v>4</c:v>
                </c:pt>
                <c:pt idx="1">
                  <c:v>103</c:v>
                </c:pt>
                <c:pt idx="2">
                  <c:v>0</c:v>
                </c:pt>
                <c:pt idx="3">
                  <c:v>0</c:v>
                </c:pt>
                <c:pt idx="4">
                  <c:v>159</c:v>
                </c:pt>
                <c:pt idx="5">
                  <c:v>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'Chart Data'!$I$15:$I$20</c15:f>
                <c15:dlblRangeCache>
                  <c:ptCount val="6"/>
                  <c:pt idx="0">
                    <c:v>4 for 46 yrds (1%)</c:v>
                  </c:pt>
                  <c:pt idx="1">
                    <c:v>103 for 511 yrds (38%)</c:v>
                  </c:pt>
                  <c:pt idx="2">
                    <c:v>0 for 0 yrds (0%)</c:v>
                  </c:pt>
                  <c:pt idx="3">
                    <c:v>0 for 0 yrds (0%)</c:v>
                  </c:pt>
                  <c:pt idx="4">
                    <c:v>159 for 845 yrds (59%)</c:v>
                  </c:pt>
                  <c:pt idx="5">
                    <c:v>5 for 97 yrds (2%)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2852-4714-937D-F1EA2D0EED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52525856"/>
        <c:axId val="452517984"/>
      </c:barChart>
      <c:catAx>
        <c:axId val="45252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517984"/>
        <c:crosses val="autoZero"/>
        <c:auto val="1"/>
        <c:lblAlgn val="ctr"/>
        <c:lblOffset val="100"/>
        <c:noMultiLvlLbl val="0"/>
      </c:catAx>
      <c:valAx>
        <c:axId val="45251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Attempts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525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25" r="0.25" t="0.75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543766</xdr:colOff>
      <xdr:row>4</xdr:row>
      <xdr:rowOff>36851</xdr:rowOff>
    </xdr:from>
    <xdr:to>
      <xdr:col>19</xdr:col>
      <xdr:colOff>280458</xdr:colOff>
      <xdr:row>41</xdr:row>
      <xdr:rowOff>68790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F5133A5-F04F-4474-9C0E-41A429A7F1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4</xdr:row>
      <xdr:rowOff>21429</xdr:rowOff>
    </xdr:from>
    <xdr:to>
      <xdr:col>18</xdr:col>
      <xdr:colOff>101713</xdr:colOff>
      <xdr:row>36</xdr:row>
      <xdr:rowOff>59531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687BEE-C53F-4283-A0AC-7450B0D9E7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7ef7662006b21fe1/Documents/Football/RHS/RHS%20-%20Play%20Chart%20vs%20Newtown%20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er Numbers Here"/>
      <sheetName val="Refresh"/>
      <sheetName val="Passing Chart"/>
      <sheetName val="Run Chart"/>
      <sheetName val="Summary"/>
      <sheetName val="Chart Data"/>
      <sheetName val="Lookup"/>
    </sheetNames>
    <sheetDataSet>
      <sheetData sheetId="0"/>
      <sheetData sheetId="1"/>
      <sheetData sheetId="2"/>
      <sheetData sheetId="3"/>
      <sheetData sheetId="4"/>
      <sheetData sheetId="5"/>
      <sheetData sheetId="6">
        <row r="63">
          <cell r="C63">
            <v>0</v>
          </cell>
          <cell r="D63">
            <v>1</v>
          </cell>
        </row>
        <row r="64">
          <cell r="C64">
            <v>1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 Hunter" refreshedDate="43060.707948263887" createdVersion="6" refreshedVersion="6" minRefreshableVersion="3" recordCount="391" xr:uid="{00000000-000A-0000-FFFF-FFFF01000000}">
  <cacheSource type="worksheet">
    <worksheetSource ref="A1:W392" sheet="Enter Numbers Here"/>
  </cacheSource>
  <cacheFields count="25">
    <cacheField name="Play" numFmtId="0">
      <sharedItems containsString="0" containsBlank="1" containsNumber="1" containsInteger="1" minValue="2" maxValue="226"/>
    </cacheField>
    <cacheField name="ODK" numFmtId="0">
      <sharedItems containsBlank="1" containsMixedTypes="1" containsNumber="1" containsInteger="1" minValue="1" maxValue="4" count="6">
        <m/>
        <n v="1"/>
        <n v="2"/>
        <n v="3"/>
        <n v="4"/>
        <s v="D" u="1"/>
      </sharedItems>
    </cacheField>
    <cacheField name="Down" numFmtId="0">
      <sharedItems containsString="0" containsBlank="1" containsNumber="1" containsInteger="1" minValue="1" maxValue="4"/>
    </cacheField>
    <cacheField name="Distance" numFmtId="0">
      <sharedItems containsString="0" containsBlank="1" containsNumber="1" containsInteger="1" minValue="1" maxValue="31"/>
    </cacheField>
    <cacheField name="Yard Line" numFmtId="0">
      <sharedItems containsString="0" containsBlank="1" containsNumber="1" containsInteger="1" minValue="-49" maxValue="50"/>
    </cacheField>
    <cacheField name="Gain/Loss" numFmtId="0">
      <sharedItems containsSemiMixedTypes="0" containsString="0" containsNumber="1" containsInteger="1" minValue="-65" maxValue="68"/>
    </cacheField>
    <cacheField name="Hash" numFmtId="0">
      <sharedItems containsBlank="1"/>
    </cacheField>
    <cacheField name="Strength" numFmtId="0">
      <sharedItems containsNonDate="0" containsString="0" containsBlank="1"/>
    </cacheField>
    <cacheField name="Motion" numFmtId="0">
      <sharedItems containsNonDate="0" containsString="0" containsBlank="1"/>
    </cacheField>
    <cacheField name="Play Type" numFmtId="0">
      <sharedItems containsBlank="1" count="3">
        <s v="Pass"/>
        <s v="Run"/>
        <m u="1"/>
      </sharedItems>
    </cacheField>
    <cacheField name="Direction" numFmtId="0">
      <sharedItems/>
    </cacheField>
    <cacheField name="Gap" numFmtId="0">
      <sharedItems containsBlank="1"/>
    </cacheField>
    <cacheField name="Attempts" numFmtId="0">
      <sharedItems containsSemiMixedTypes="0" containsString="0" containsNumber="1" containsInteger="1" minValue="0" maxValue="1"/>
    </cacheField>
    <cacheField name="Complete" numFmtId="0">
      <sharedItems containsString="0" containsBlank="1" containsNumber="1" containsInteger="1" minValue="0" maxValue="1"/>
    </cacheField>
    <cacheField name="Pass Zone" numFmtId="0">
      <sharedItems containsBlank="1"/>
    </cacheField>
    <cacheField name="Yards" numFmtId="0">
      <sharedItems containsSemiMixedTypes="0" containsString="0" containsNumber="1" containsInteger="1" minValue="-16" maxValue="68"/>
    </cacheField>
    <cacheField name="Direction G" numFmtId="0">
      <sharedItems containsSemiMixedTypes="0" containsString="0" containsNumber="1" minValue="0.5" maxValue="2.5"/>
    </cacheField>
    <cacheField name="Direction1" numFmtId="0">
      <sharedItems/>
    </cacheField>
    <cacheField name="Zone G" numFmtId="0">
      <sharedItems containsSemiMixedTypes="0" containsString="0" containsNumber="1" minValue="0.5" maxValue="2.5"/>
    </cacheField>
    <cacheField name="Strength1" numFmtId="0">
      <sharedItems containsBlank="1"/>
    </cacheField>
    <cacheField name="Boundry" numFmtId="0">
      <sharedItems/>
    </cacheField>
    <cacheField name="D&amp;D" numFmtId="0">
      <sharedItems containsBlank="1"/>
    </cacheField>
    <cacheField name="Yard Line Zone" numFmtId="0">
      <sharedItems/>
    </cacheField>
    <cacheField name="Yards per Att" numFmtId="0" formula="#NAME?/#NAME?" databaseField="0"/>
    <cacheField name="Yds per Att" numFmtId="0" formula="Yards/Attempt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William Hunter" refreshedDate="43477.572273611113" createdVersion="6" refreshedVersion="6" minRefreshableVersion="3" recordCount="391" xr:uid="{00000000-000A-0000-FFFF-FFFF0E000000}">
  <cacheSource type="worksheet">
    <worksheetSource name="Table11"/>
  </cacheSource>
  <cacheFields count="24">
    <cacheField name="Play" numFmtId="0">
      <sharedItems containsString="0" containsBlank="1" containsNumber="1" containsInteger="1" minValue="2" maxValue="226"/>
    </cacheField>
    <cacheField name="ODK" numFmtId="0">
      <sharedItems containsString="0" containsBlank="1" containsNumber="1" containsInteger="1" minValue="1" maxValue="4" count="5">
        <m/>
        <n v="1"/>
        <n v="2"/>
        <n v="3"/>
        <n v="4"/>
      </sharedItems>
    </cacheField>
    <cacheField name="Down" numFmtId="0">
      <sharedItems containsString="0" containsBlank="1" containsNumber="1" containsInteger="1" minValue="1" maxValue="4" count="5">
        <m/>
        <n v="1"/>
        <n v="2"/>
        <n v="3"/>
        <n v="4"/>
      </sharedItems>
    </cacheField>
    <cacheField name="Distance" numFmtId="0">
      <sharedItems containsString="0" containsBlank="1" containsNumber="1" containsInteger="1" minValue="1" maxValue="31"/>
    </cacheField>
    <cacheField name="Yard Line" numFmtId="0">
      <sharedItems containsString="0" containsBlank="1" containsNumber="1" containsInteger="1" minValue="-49" maxValue="50"/>
    </cacheField>
    <cacheField name="Gain/Loss" numFmtId="0">
      <sharedItems containsSemiMixedTypes="0" containsString="0" containsNumber="1" containsInteger="1" minValue="-65" maxValue="68"/>
    </cacheField>
    <cacheField name="Hash" numFmtId="0">
      <sharedItems containsBlank="1"/>
    </cacheField>
    <cacheField name="Strength" numFmtId="0">
      <sharedItems containsNonDate="0" containsBlank="1" count="4">
        <m/>
        <s v="BAL" u="1"/>
        <s v="R" u="1"/>
        <s v="L" u="1"/>
      </sharedItems>
    </cacheField>
    <cacheField name="Motion" numFmtId="0">
      <sharedItems containsNonDate="0" containsString="0" containsBlank="1"/>
    </cacheField>
    <cacheField name="Play Type" numFmtId="0">
      <sharedItems containsBlank="1" count="3">
        <s v="Pass"/>
        <s v="Run"/>
        <m u="1"/>
      </sharedItems>
    </cacheField>
    <cacheField name="Direction" numFmtId="0">
      <sharedItems containsBlank="1" count="4">
        <s v="R"/>
        <s v="L"/>
        <s v="M"/>
        <m u="1"/>
      </sharedItems>
    </cacheField>
    <cacheField name="Gap" numFmtId="0">
      <sharedItems containsBlank="1" count="5">
        <m/>
        <s v="A"/>
        <s v="B"/>
        <s v="C"/>
        <s v="" u="1"/>
      </sharedItems>
    </cacheField>
    <cacheField name="Attempts" numFmtId="0">
      <sharedItems containsSemiMixedTypes="0" containsString="0" containsNumber="1" containsInteger="1" minValue="0" maxValue="1"/>
    </cacheField>
    <cacheField name="Complete" numFmtId="0">
      <sharedItems containsString="0" containsBlank="1" containsNumber="1" containsInteger="1" minValue="0" maxValue="1"/>
    </cacheField>
    <cacheField name="Pass Zone" numFmtId="0">
      <sharedItems containsBlank="1" count="5">
        <s v="S"/>
        <s v="M"/>
        <s v="D"/>
        <m/>
        <s v="" u="1"/>
      </sharedItems>
    </cacheField>
    <cacheField name="Yards" numFmtId="0">
      <sharedItems containsSemiMixedTypes="0" containsString="0" containsNumber="1" containsInteger="1" minValue="-16" maxValue="68"/>
    </cacheField>
    <cacheField name="Direction G" numFmtId="0">
      <sharedItems containsSemiMixedTypes="0" containsString="0" containsNumber="1" minValue="0.5" maxValue="2.5"/>
    </cacheField>
    <cacheField name="Direction1" numFmtId="0">
      <sharedItems/>
    </cacheField>
    <cacheField name="Zone G" numFmtId="0">
      <sharedItems containsSemiMixedTypes="0" containsString="0" containsNumber="1" minValue="0.5" maxValue="2.5"/>
    </cacheField>
    <cacheField name="Strength1" numFmtId="0">
      <sharedItems containsBlank="1" count="5">
        <s v=""/>
        <m/>
        <s v="BAL" u="1"/>
        <s v="Weak" u="1"/>
        <s v="Strong" u="1"/>
      </sharedItems>
    </cacheField>
    <cacheField name="Boundry" numFmtId="0">
      <sharedItems containsBlank="1" count="4">
        <s v=""/>
        <s v="Field"/>
        <s v="Boundry"/>
        <m u="1"/>
      </sharedItems>
    </cacheField>
    <cacheField name="D&amp;D" numFmtId="0">
      <sharedItems containsBlank="1" count="22">
        <s v=" "/>
        <s v="01:  1st &amp; 10+"/>
        <s v="03:  2nd &amp; 8+"/>
        <s v="06:  3rd &amp; 8+"/>
        <s v="04:  2nd &amp; 4 - 7"/>
        <s v="08:  3rd &amp; &lt; 4"/>
        <s v="07:  3rd &amp; 4 - 7"/>
        <s v="05:  2nd &amp; &lt; 4"/>
        <s v="02:  1st &amp; &lt; 10"/>
        <s v="09:  4th &amp; 2+"/>
        <m/>
        <s v="10:  4th &amp; &lt; 2" u="1"/>
        <s v="2nd &amp; &lt; 4" u="1"/>
        <s v="3rd &amp; 4 - 7" u="1"/>
        <s v="3rd &amp; 8+" u="1"/>
        <s v="4th &amp; 2+" u="1"/>
        <s v="3rd &amp; &lt; 4" u="1"/>
        <s v="1st &lt; 10" u="1"/>
        <s v="4thst &lt; 2" u="1"/>
        <s v="1st &amp; 10+" u="1"/>
        <s v="2nd &amp; 4 - 7" u="1"/>
        <s v="2nd &amp; 8+" u="1"/>
      </sharedItems>
    </cacheField>
    <cacheField name="Yard Line Zone" numFmtId="0">
      <sharedItems containsBlank="1" count="6">
        <s v="Goal Line"/>
        <s v="21-49"/>
        <s v="50-21"/>
        <s v="0-20"/>
        <s v="Red Zone"/>
        <m u="1"/>
      </sharedItems>
    </cacheField>
    <cacheField name="Yrd per Att/" numFmtId="0" formula="Yards/Attempt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1">
  <r>
    <m/>
    <x v="0"/>
    <m/>
    <m/>
    <m/>
    <n v="0"/>
    <m/>
    <m/>
    <m/>
    <x v="0"/>
    <s v="R"/>
    <m/>
    <n v="0"/>
    <n v="0"/>
    <s v="S"/>
    <n v="0"/>
    <n v="2.5"/>
    <s v="Right"/>
    <n v="0.5"/>
    <s v=""/>
    <s v=""/>
    <s v=" "/>
    <s v="Goal Line"/>
  </r>
  <r>
    <m/>
    <x v="0"/>
    <m/>
    <m/>
    <m/>
    <n v="0"/>
    <m/>
    <m/>
    <m/>
    <x v="0"/>
    <s v="R"/>
    <m/>
    <n v="0"/>
    <n v="0"/>
    <s v="M"/>
    <n v="0"/>
    <n v="2.5"/>
    <s v="Right"/>
    <n v="1.5"/>
    <s v=""/>
    <s v=""/>
    <s v=" "/>
    <s v="Goal Line"/>
  </r>
  <r>
    <m/>
    <x v="0"/>
    <m/>
    <m/>
    <m/>
    <n v="0"/>
    <m/>
    <m/>
    <m/>
    <x v="0"/>
    <s v="R"/>
    <m/>
    <n v="0"/>
    <n v="0"/>
    <s v="D"/>
    <n v="0"/>
    <n v="2.5"/>
    <s v="Right"/>
    <n v="2.5"/>
    <s v=""/>
    <s v=""/>
    <s v=" "/>
    <s v="Goal Line"/>
  </r>
  <r>
    <m/>
    <x v="0"/>
    <m/>
    <m/>
    <m/>
    <n v="0"/>
    <m/>
    <m/>
    <m/>
    <x v="0"/>
    <s v="L"/>
    <m/>
    <n v="0"/>
    <n v="0"/>
    <s v="S"/>
    <n v="0"/>
    <n v="0.5"/>
    <s v="Left"/>
    <n v="0.5"/>
    <s v=""/>
    <s v=""/>
    <s v=" "/>
    <s v="Goal Line"/>
  </r>
  <r>
    <m/>
    <x v="0"/>
    <m/>
    <m/>
    <m/>
    <n v="0"/>
    <m/>
    <m/>
    <m/>
    <x v="0"/>
    <s v="L"/>
    <m/>
    <n v="0"/>
    <n v="0"/>
    <s v="M"/>
    <n v="0"/>
    <n v="0.5"/>
    <s v="Left"/>
    <n v="1.5"/>
    <s v=""/>
    <s v=""/>
    <s v=" "/>
    <s v="Goal Line"/>
  </r>
  <r>
    <m/>
    <x v="0"/>
    <m/>
    <m/>
    <m/>
    <n v="0"/>
    <m/>
    <m/>
    <m/>
    <x v="0"/>
    <s v="L"/>
    <m/>
    <n v="0"/>
    <n v="0"/>
    <s v="D"/>
    <n v="0"/>
    <n v="0.5"/>
    <s v="Left"/>
    <n v="2.5"/>
    <s v=""/>
    <s v=""/>
    <s v=" "/>
    <s v="Goal Line"/>
  </r>
  <r>
    <m/>
    <x v="0"/>
    <m/>
    <m/>
    <m/>
    <n v="0"/>
    <m/>
    <m/>
    <m/>
    <x v="0"/>
    <s v="M"/>
    <m/>
    <n v="0"/>
    <n v="0"/>
    <s v="S"/>
    <n v="0"/>
    <n v="1.5"/>
    <s v="Middle"/>
    <n v="0.5"/>
    <s v=""/>
    <s v=""/>
    <s v=" "/>
    <s v="Goal Line"/>
  </r>
  <r>
    <m/>
    <x v="0"/>
    <m/>
    <m/>
    <m/>
    <n v="0"/>
    <m/>
    <m/>
    <m/>
    <x v="0"/>
    <s v="M"/>
    <m/>
    <n v="0"/>
    <n v="0"/>
    <s v="M"/>
    <n v="0"/>
    <n v="1.5"/>
    <s v="Middle"/>
    <n v="1.5"/>
    <s v=""/>
    <s v=""/>
    <s v=" "/>
    <s v="Goal Line"/>
  </r>
  <r>
    <m/>
    <x v="0"/>
    <m/>
    <m/>
    <m/>
    <n v="0"/>
    <m/>
    <m/>
    <m/>
    <x v="0"/>
    <s v="M"/>
    <m/>
    <n v="0"/>
    <n v="0"/>
    <s v="S"/>
    <n v="0"/>
    <n v="1.5"/>
    <s v="Middle"/>
    <n v="0.5"/>
    <s v=""/>
    <s v=""/>
    <s v=" "/>
    <s v="Goal Line"/>
  </r>
  <r>
    <m/>
    <x v="0"/>
    <m/>
    <m/>
    <m/>
    <n v="0"/>
    <m/>
    <m/>
    <m/>
    <x v="1"/>
    <s v="R"/>
    <s v="A"/>
    <n v="0"/>
    <n v="0"/>
    <m/>
    <n v="0"/>
    <n v="2.5"/>
    <s v="Right"/>
    <n v="2.5"/>
    <s v=""/>
    <s v=""/>
    <s v=" "/>
    <s v="Goal Line"/>
  </r>
  <r>
    <m/>
    <x v="0"/>
    <m/>
    <m/>
    <m/>
    <n v="0"/>
    <m/>
    <m/>
    <m/>
    <x v="1"/>
    <s v="R"/>
    <s v="B"/>
    <n v="0"/>
    <n v="0"/>
    <m/>
    <n v="0"/>
    <n v="2.5"/>
    <s v="Right"/>
    <n v="2.5"/>
    <s v=""/>
    <s v=""/>
    <s v=" "/>
    <s v="Goal Line"/>
  </r>
  <r>
    <m/>
    <x v="0"/>
    <m/>
    <m/>
    <m/>
    <n v="0"/>
    <m/>
    <m/>
    <m/>
    <x v="1"/>
    <s v="R"/>
    <s v="C"/>
    <n v="0"/>
    <n v="0"/>
    <m/>
    <n v="0"/>
    <n v="2.5"/>
    <s v="Right"/>
    <n v="2.5"/>
    <s v=""/>
    <s v=""/>
    <s v=" "/>
    <s v="Goal Line"/>
  </r>
  <r>
    <m/>
    <x v="0"/>
    <m/>
    <m/>
    <m/>
    <n v="0"/>
    <m/>
    <m/>
    <m/>
    <x v="1"/>
    <s v="L"/>
    <s v="A"/>
    <n v="0"/>
    <n v="0"/>
    <m/>
    <n v="0"/>
    <n v="0.5"/>
    <s v="Left"/>
    <n v="2.5"/>
    <s v=""/>
    <s v=""/>
    <s v=" "/>
    <s v="Goal Line"/>
  </r>
  <r>
    <m/>
    <x v="0"/>
    <m/>
    <m/>
    <m/>
    <n v="0"/>
    <m/>
    <m/>
    <m/>
    <x v="1"/>
    <s v="L"/>
    <s v="B"/>
    <n v="0"/>
    <n v="0"/>
    <m/>
    <n v="0"/>
    <n v="0.5"/>
    <s v="Left"/>
    <n v="2.5"/>
    <s v=""/>
    <s v=""/>
    <s v=" "/>
    <s v="Goal Line"/>
  </r>
  <r>
    <m/>
    <x v="0"/>
    <m/>
    <m/>
    <m/>
    <n v="-65"/>
    <m/>
    <m/>
    <m/>
    <x v="1"/>
    <s v="L"/>
    <s v="C"/>
    <n v="0"/>
    <n v="0"/>
    <m/>
    <n v="0"/>
    <n v="0.5"/>
    <s v="Left"/>
    <n v="2.5"/>
    <s v=""/>
    <s v=""/>
    <s v=" "/>
    <s v="Goal Line"/>
  </r>
  <r>
    <n v="3"/>
    <x v="1"/>
    <n v="1"/>
    <n v="10"/>
    <n v="-35"/>
    <n v="-4"/>
    <s v="M"/>
    <m/>
    <m/>
    <x v="0"/>
    <s v="M"/>
    <m/>
    <n v="1"/>
    <n v="0"/>
    <s v="S"/>
    <n v="-4"/>
    <n v="1.5"/>
    <s v="Middle"/>
    <n v="0.5"/>
    <s v=""/>
    <s v=""/>
    <s v="01:  1st &amp; 10+"/>
    <s v="21-49"/>
  </r>
  <r>
    <n v="5"/>
    <x v="2"/>
    <n v="2"/>
    <n v="9"/>
    <n v="-36"/>
    <n v="0"/>
    <s v="M"/>
    <m/>
    <m/>
    <x v="0"/>
    <s v="M"/>
    <m/>
    <n v="1"/>
    <n v="0"/>
    <s v="S"/>
    <n v="0"/>
    <n v="1.5"/>
    <s v="Middle"/>
    <n v="0.5"/>
    <s v=""/>
    <s v=""/>
    <s v="03:  2nd &amp; 8+"/>
    <s v="21-49"/>
  </r>
  <r>
    <n v="6"/>
    <x v="3"/>
    <n v="3"/>
    <n v="9"/>
    <n v="-36"/>
    <n v="13"/>
    <s v="M"/>
    <m/>
    <m/>
    <x v="1"/>
    <s v="L"/>
    <s v="C"/>
    <n v="1"/>
    <m/>
    <m/>
    <n v="13"/>
    <n v="0.5"/>
    <s v="Left"/>
    <n v="2.5"/>
    <s v=""/>
    <s v=""/>
    <s v="06:  3rd &amp; 8+"/>
    <s v="21-49"/>
  </r>
  <r>
    <n v="8"/>
    <x v="2"/>
    <n v="2"/>
    <n v="23"/>
    <n v="-36"/>
    <n v="1"/>
    <s v="R"/>
    <m/>
    <m/>
    <x v="1"/>
    <s v="L"/>
    <s v="B"/>
    <n v="1"/>
    <m/>
    <m/>
    <n v="1"/>
    <n v="0.5"/>
    <s v="Left"/>
    <n v="2.5"/>
    <s v=""/>
    <s v="Field"/>
    <s v="03:  2nd &amp; 8+"/>
    <s v="21-49"/>
  </r>
  <r>
    <n v="9"/>
    <x v="3"/>
    <n v="3"/>
    <n v="22"/>
    <n v="-37"/>
    <n v="0"/>
    <s v="L"/>
    <m/>
    <m/>
    <x v="1"/>
    <s v="R"/>
    <s v="B"/>
    <n v="1"/>
    <m/>
    <m/>
    <n v="0"/>
    <n v="2.5"/>
    <s v="Right"/>
    <n v="2.5"/>
    <s v=""/>
    <s v="Field"/>
    <s v="06:  3rd &amp; 8+"/>
    <s v="21-49"/>
  </r>
  <r>
    <n v="18"/>
    <x v="1"/>
    <n v="1"/>
    <n v="10"/>
    <n v="36"/>
    <n v="5"/>
    <s v="R"/>
    <m/>
    <m/>
    <x v="1"/>
    <s v="R"/>
    <s v="B"/>
    <n v="1"/>
    <m/>
    <m/>
    <n v="5"/>
    <n v="2.5"/>
    <s v="Right"/>
    <n v="2.5"/>
    <s v=""/>
    <s v="Boundry"/>
    <s v="01:  1st &amp; 10+"/>
    <s v="50-21"/>
  </r>
  <r>
    <n v="19"/>
    <x v="2"/>
    <n v="2"/>
    <n v="5"/>
    <n v="31"/>
    <n v="2"/>
    <s v="R"/>
    <m/>
    <m/>
    <x v="1"/>
    <s v="L"/>
    <s v="B"/>
    <n v="1"/>
    <m/>
    <m/>
    <n v="2"/>
    <n v="0.5"/>
    <s v="Left"/>
    <n v="2.5"/>
    <s v=""/>
    <s v="Field"/>
    <s v="04:  2nd &amp; 4 - 7"/>
    <s v="50-21"/>
  </r>
  <r>
    <n v="20"/>
    <x v="3"/>
    <n v="3"/>
    <n v="3"/>
    <n v="29"/>
    <n v="0"/>
    <s v="M"/>
    <m/>
    <m/>
    <x v="1"/>
    <s v="R"/>
    <s v="B"/>
    <n v="1"/>
    <m/>
    <m/>
    <n v="0"/>
    <n v="2.5"/>
    <s v="Right"/>
    <n v="2.5"/>
    <s v=""/>
    <s v=""/>
    <s v="08:  3rd &amp; &lt; 4"/>
    <s v="50-21"/>
  </r>
  <r>
    <n v="28"/>
    <x v="1"/>
    <n v="1"/>
    <n v="10"/>
    <n v="-5"/>
    <n v="0"/>
    <s v="M"/>
    <m/>
    <m/>
    <x v="0"/>
    <s v="L"/>
    <m/>
    <n v="1"/>
    <n v="0"/>
    <m/>
    <n v="0"/>
    <n v="0.5"/>
    <s v="Left"/>
    <n v="2.5"/>
    <s v=""/>
    <s v=""/>
    <s v="01:  1st &amp; 10+"/>
    <s v="0-20"/>
  </r>
  <r>
    <n v="29"/>
    <x v="2"/>
    <n v="2"/>
    <n v="10"/>
    <n v="-5"/>
    <n v="1"/>
    <s v="M"/>
    <m/>
    <m/>
    <x v="1"/>
    <s v="L"/>
    <s v="B"/>
    <n v="1"/>
    <m/>
    <m/>
    <n v="1"/>
    <n v="0.5"/>
    <s v="Left"/>
    <n v="2.5"/>
    <s v=""/>
    <s v=""/>
    <s v="03:  2nd &amp; 8+"/>
    <s v="0-20"/>
  </r>
  <r>
    <n v="30"/>
    <x v="3"/>
    <n v="3"/>
    <n v="9"/>
    <n v="-6"/>
    <n v="0"/>
    <s v="L"/>
    <m/>
    <m/>
    <x v="1"/>
    <s v="R"/>
    <s v="B"/>
    <n v="1"/>
    <m/>
    <m/>
    <n v="0"/>
    <n v="2.5"/>
    <s v="Right"/>
    <n v="2.5"/>
    <s v=""/>
    <s v="Field"/>
    <s v="06:  3rd &amp; 8+"/>
    <s v="0-20"/>
  </r>
  <r>
    <n v="38"/>
    <x v="1"/>
    <n v="1"/>
    <n v="10"/>
    <n v="-48"/>
    <n v="3"/>
    <s v="M"/>
    <m/>
    <m/>
    <x v="1"/>
    <s v="R"/>
    <s v="B"/>
    <n v="1"/>
    <m/>
    <m/>
    <n v="3"/>
    <n v="2.5"/>
    <s v="Right"/>
    <n v="2.5"/>
    <s v=""/>
    <s v=""/>
    <s v="01:  1st &amp; 10+"/>
    <s v="21-49"/>
  </r>
  <r>
    <n v="44"/>
    <x v="1"/>
    <n v="1"/>
    <n v="10"/>
    <n v="10"/>
    <n v="0"/>
    <s v="L"/>
    <m/>
    <m/>
    <x v="1"/>
    <s v="R"/>
    <s v="B"/>
    <n v="1"/>
    <m/>
    <m/>
    <n v="0"/>
    <n v="2.5"/>
    <s v="Right"/>
    <n v="2.5"/>
    <s v=""/>
    <s v="Field"/>
    <s v="01:  1st &amp; 10+"/>
    <s v="Red Zone"/>
  </r>
  <r>
    <n v="45"/>
    <x v="2"/>
    <n v="2"/>
    <n v="10"/>
    <n v="10"/>
    <n v="5"/>
    <s v="L"/>
    <m/>
    <m/>
    <x v="1"/>
    <s v="R"/>
    <s v="B"/>
    <n v="1"/>
    <m/>
    <m/>
    <n v="5"/>
    <n v="2.5"/>
    <s v="Right"/>
    <n v="2.5"/>
    <s v=""/>
    <s v="Field"/>
    <s v="03:  2nd &amp; 8+"/>
    <s v="Red Zone"/>
  </r>
  <r>
    <n v="47"/>
    <x v="3"/>
    <n v="3"/>
    <n v="5"/>
    <n v="5"/>
    <n v="5"/>
    <s v="R"/>
    <m/>
    <m/>
    <x v="1"/>
    <s v="R"/>
    <s v="B"/>
    <n v="1"/>
    <m/>
    <m/>
    <n v="5"/>
    <n v="2.5"/>
    <s v="Right"/>
    <n v="2.5"/>
    <s v=""/>
    <s v="Boundry"/>
    <s v="07:  3rd &amp; 4 - 7"/>
    <s v="Red Zone"/>
  </r>
  <r>
    <n v="57"/>
    <x v="1"/>
    <n v="1"/>
    <n v="10"/>
    <n v="-10"/>
    <n v="0"/>
    <s v="L"/>
    <m/>
    <m/>
    <x v="1"/>
    <s v="R"/>
    <s v="B"/>
    <n v="1"/>
    <m/>
    <m/>
    <n v="0"/>
    <n v="2.5"/>
    <s v="Right"/>
    <n v="2.5"/>
    <s v=""/>
    <s v="Field"/>
    <s v="01:  1st &amp; 10+"/>
    <s v="0-20"/>
  </r>
  <r>
    <n v="58"/>
    <x v="2"/>
    <n v="2"/>
    <n v="10"/>
    <n v="-10"/>
    <n v="2"/>
    <s v="R"/>
    <m/>
    <m/>
    <x v="1"/>
    <s v="R"/>
    <s v="B"/>
    <n v="1"/>
    <m/>
    <m/>
    <n v="2"/>
    <n v="2.5"/>
    <s v="Right"/>
    <n v="2.5"/>
    <s v=""/>
    <s v="Boundry"/>
    <s v="03:  2nd &amp; 8+"/>
    <s v="0-20"/>
  </r>
  <r>
    <n v="59"/>
    <x v="3"/>
    <n v="3"/>
    <n v="8"/>
    <n v="-12"/>
    <n v="-9"/>
    <s v="R"/>
    <m/>
    <m/>
    <x v="0"/>
    <s v="M"/>
    <m/>
    <n v="1"/>
    <n v="0"/>
    <s v="S"/>
    <n v="-9"/>
    <n v="1.5"/>
    <s v="Middle"/>
    <n v="0.5"/>
    <s v=""/>
    <s v=""/>
    <s v="06:  3rd &amp; 8+"/>
    <s v="0-20"/>
  </r>
  <r>
    <n v="63"/>
    <x v="1"/>
    <n v="1"/>
    <n v="10"/>
    <n v="-2"/>
    <n v="0"/>
    <s v="L"/>
    <m/>
    <m/>
    <x v="1"/>
    <s v="R"/>
    <s v="B"/>
    <n v="1"/>
    <m/>
    <m/>
    <n v="0"/>
    <n v="2.5"/>
    <s v="Right"/>
    <n v="2.5"/>
    <s v=""/>
    <s v="Field"/>
    <s v="01:  1st &amp; 10+"/>
    <s v="0-20"/>
  </r>
  <r>
    <n v="64"/>
    <x v="2"/>
    <n v="2"/>
    <n v="10"/>
    <n v="-2"/>
    <n v="0"/>
    <s v="M"/>
    <m/>
    <m/>
    <x v="0"/>
    <s v="R"/>
    <m/>
    <n v="1"/>
    <n v="0"/>
    <m/>
    <n v="0"/>
    <n v="2.5"/>
    <s v="Right"/>
    <n v="2.5"/>
    <s v=""/>
    <s v=""/>
    <s v="03:  2nd &amp; 8+"/>
    <s v="0-20"/>
  </r>
  <r>
    <n v="71"/>
    <x v="1"/>
    <n v="1"/>
    <n v="10"/>
    <n v="23"/>
    <n v="0"/>
    <s v="L"/>
    <m/>
    <m/>
    <x v="0"/>
    <s v="R"/>
    <m/>
    <n v="1"/>
    <n v="0"/>
    <m/>
    <n v="0"/>
    <n v="2.5"/>
    <s v="Right"/>
    <n v="2.5"/>
    <s v=""/>
    <s v="Field"/>
    <s v="01:  1st &amp; 10+"/>
    <s v="50-21"/>
  </r>
  <r>
    <n v="72"/>
    <x v="2"/>
    <n v="2"/>
    <n v="10"/>
    <n v="23"/>
    <n v="-6"/>
    <s v="L"/>
    <m/>
    <m/>
    <x v="1"/>
    <s v="R"/>
    <s v="B"/>
    <n v="1"/>
    <m/>
    <m/>
    <n v="-6"/>
    <n v="2.5"/>
    <s v="Right"/>
    <n v="2.5"/>
    <s v=""/>
    <s v="Field"/>
    <s v="03:  2nd &amp; 8+"/>
    <s v="50-21"/>
  </r>
  <r>
    <n v="73"/>
    <x v="3"/>
    <n v="3"/>
    <n v="16"/>
    <n v="29"/>
    <n v="21"/>
    <s v="M"/>
    <m/>
    <m/>
    <x v="0"/>
    <s v="R"/>
    <m/>
    <n v="1"/>
    <n v="1"/>
    <s v="D"/>
    <n v="21"/>
    <n v="2.5"/>
    <s v="Right"/>
    <n v="2.5"/>
    <s v=""/>
    <s v=""/>
    <s v="06:  3rd &amp; 8+"/>
    <s v="50-21"/>
  </r>
  <r>
    <n v="76"/>
    <x v="1"/>
    <n v="1"/>
    <n v="10"/>
    <n v="20"/>
    <n v="1"/>
    <s v="L"/>
    <m/>
    <m/>
    <x v="1"/>
    <s v="L"/>
    <s v="B"/>
    <n v="1"/>
    <m/>
    <m/>
    <n v="1"/>
    <n v="0.5"/>
    <s v="Left"/>
    <n v="2.5"/>
    <s v=""/>
    <s v="Boundry"/>
    <s v="01:  1st &amp; 10+"/>
    <s v="Red Zone"/>
  </r>
  <r>
    <n v="77"/>
    <x v="2"/>
    <n v="2"/>
    <n v="9"/>
    <n v="19"/>
    <n v="19"/>
    <s v="L"/>
    <m/>
    <m/>
    <x v="1"/>
    <s v="L"/>
    <s v="B"/>
    <n v="1"/>
    <m/>
    <m/>
    <n v="19"/>
    <n v="0.5"/>
    <s v="Left"/>
    <n v="2.5"/>
    <s v=""/>
    <s v="Boundry"/>
    <s v="03:  2nd &amp; 8+"/>
    <s v="Red Zone"/>
  </r>
  <r>
    <n v="85"/>
    <x v="1"/>
    <n v="1"/>
    <n v="10"/>
    <n v="-28"/>
    <n v="16"/>
    <s v="R"/>
    <m/>
    <m/>
    <x v="1"/>
    <s v="L"/>
    <s v="B"/>
    <n v="1"/>
    <m/>
    <m/>
    <n v="16"/>
    <n v="0.5"/>
    <s v="Left"/>
    <n v="2.5"/>
    <s v=""/>
    <s v="Field"/>
    <s v="01:  1st &amp; 10+"/>
    <s v="21-49"/>
  </r>
  <r>
    <n v="87"/>
    <x v="1"/>
    <n v="1"/>
    <n v="15"/>
    <n v="-39"/>
    <n v="2"/>
    <s v="L"/>
    <m/>
    <m/>
    <x v="1"/>
    <s v="R"/>
    <s v="B"/>
    <n v="1"/>
    <m/>
    <m/>
    <n v="2"/>
    <n v="2.5"/>
    <s v="Right"/>
    <n v="2.5"/>
    <s v=""/>
    <s v="Field"/>
    <s v="01:  1st &amp; 10+"/>
    <s v="21-49"/>
  </r>
  <r>
    <n v="88"/>
    <x v="2"/>
    <n v="2"/>
    <n v="13"/>
    <n v="-41"/>
    <n v="4"/>
    <s v="R"/>
    <m/>
    <m/>
    <x v="1"/>
    <s v="L"/>
    <s v="B"/>
    <n v="1"/>
    <m/>
    <m/>
    <n v="4"/>
    <n v="0.5"/>
    <s v="Left"/>
    <n v="2.5"/>
    <s v=""/>
    <s v="Field"/>
    <s v="03:  2nd &amp; 8+"/>
    <s v="21-49"/>
  </r>
  <r>
    <n v="89"/>
    <x v="3"/>
    <n v="3"/>
    <n v="9"/>
    <n v="-45"/>
    <n v="3"/>
    <s v="L"/>
    <m/>
    <m/>
    <x v="1"/>
    <s v="R"/>
    <s v="B"/>
    <n v="1"/>
    <m/>
    <m/>
    <n v="3"/>
    <n v="2.5"/>
    <s v="Right"/>
    <n v="2.5"/>
    <s v=""/>
    <s v="Field"/>
    <s v="06:  3rd &amp; 8+"/>
    <s v="21-49"/>
  </r>
  <r>
    <n v="99"/>
    <x v="1"/>
    <n v="1"/>
    <n v="10"/>
    <n v="-40"/>
    <n v="13"/>
    <s v="L"/>
    <m/>
    <m/>
    <x v="1"/>
    <s v="R"/>
    <s v="B"/>
    <n v="1"/>
    <m/>
    <m/>
    <n v="13"/>
    <n v="2.5"/>
    <s v="Right"/>
    <n v="2.5"/>
    <s v=""/>
    <s v="Field"/>
    <s v="01:  1st &amp; 10+"/>
    <s v="21-49"/>
  </r>
  <r>
    <n v="100"/>
    <x v="1"/>
    <n v="1"/>
    <n v="10"/>
    <n v="47"/>
    <n v="4"/>
    <s v="R"/>
    <m/>
    <m/>
    <x v="1"/>
    <s v="L"/>
    <s v="B"/>
    <n v="1"/>
    <m/>
    <m/>
    <n v="4"/>
    <n v="0.5"/>
    <s v="Left"/>
    <n v="2.5"/>
    <s v=""/>
    <s v="Field"/>
    <s v="01:  1st &amp; 10+"/>
    <s v="50-21"/>
  </r>
  <r>
    <n v="101"/>
    <x v="2"/>
    <n v="2"/>
    <n v="6"/>
    <n v="43"/>
    <n v="13"/>
    <s v="L"/>
    <m/>
    <m/>
    <x v="1"/>
    <s v="R"/>
    <s v="B"/>
    <n v="1"/>
    <m/>
    <m/>
    <n v="13"/>
    <n v="2.5"/>
    <s v="Right"/>
    <n v="2.5"/>
    <s v=""/>
    <s v="Field"/>
    <s v="04:  2nd &amp; 4 - 7"/>
    <s v="50-21"/>
  </r>
  <r>
    <n v="102"/>
    <x v="1"/>
    <n v="1"/>
    <n v="10"/>
    <n v="30"/>
    <n v="-1"/>
    <s v="R"/>
    <m/>
    <m/>
    <x v="1"/>
    <s v="R"/>
    <s v="B"/>
    <n v="1"/>
    <m/>
    <m/>
    <n v="-1"/>
    <n v="2.5"/>
    <s v="Right"/>
    <n v="2.5"/>
    <s v=""/>
    <s v="Boundry"/>
    <s v="01:  1st &amp; 10+"/>
    <s v="50-21"/>
  </r>
  <r>
    <n v="103"/>
    <x v="2"/>
    <n v="2"/>
    <n v="11"/>
    <n v="31"/>
    <n v="0"/>
    <s v="R"/>
    <m/>
    <m/>
    <x v="1"/>
    <s v="R"/>
    <s v="B"/>
    <n v="1"/>
    <m/>
    <m/>
    <n v="0"/>
    <n v="2.5"/>
    <s v="Right"/>
    <n v="2.5"/>
    <s v=""/>
    <s v="Boundry"/>
    <s v="03:  2nd &amp; 8+"/>
    <s v="50-21"/>
  </r>
  <r>
    <n v="105"/>
    <x v="1"/>
    <n v="1"/>
    <n v="10"/>
    <n v="31"/>
    <n v="9"/>
    <s v="R"/>
    <m/>
    <m/>
    <x v="1"/>
    <s v="R"/>
    <s v="B"/>
    <n v="1"/>
    <m/>
    <m/>
    <n v="9"/>
    <n v="2.5"/>
    <s v="Right"/>
    <n v="2.5"/>
    <s v=""/>
    <s v="Boundry"/>
    <s v="01:  1st &amp; 10+"/>
    <s v="50-21"/>
  </r>
  <r>
    <n v="106"/>
    <x v="2"/>
    <n v="2"/>
    <n v="1"/>
    <n v="22"/>
    <n v="13"/>
    <s v="R"/>
    <m/>
    <m/>
    <x v="1"/>
    <s v="R"/>
    <s v="B"/>
    <n v="1"/>
    <m/>
    <m/>
    <n v="13"/>
    <n v="2.5"/>
    <s v="Right"/>
    <n v="2.5"/>
    <s v=""/>
    <s v="Boundry"/>
    <s v="05:  2nd &amp; &lt; 4"/>
    <s v="50-21"/>
  </r>
  <r>
    <n v="108"/>
    <x v="1"/>
    <n v="1"/>
    <n v="4"/>
    <n v="4"/>
    <n v="-1"/>
    <s v="R"/>
    <m/>
    <m/>
    <x v="1"/>
    <s v="L"/>
    <s v="B"/>
    <n v="1"/>
    <m/>
    <m/>
    <n v="-1"/>
    <n v="0.5"/>
    <s v="Left"/>
    <n v="2.5"/>
    <s v=""/>
    <s v="Field"/>
    <s v="02:  1st &amp; &lt; 10"/>
    <s v="Red Zone"/>
  </r>
  <r>
    <n v="109"/>
    <x v="2"/>
    <n v="2"/>
    <n v="5"/>
    <n v="5"/>
    <n v="5"/>
    <s v="M"/>
    <m/>
    <m/>
    <x v="1"/>
    <s v="L"/>
    <s v="B"/>
    <n v="1"/>
    <m/>
    <m/>
    <n v="5"/>
    <n v="0.5"/>
    <s v="Left"/>
    <n v="2.5"/>
    <s v=""/>
    <s v=""/>
    <s v="04:  2nd &amp; 4 - 7"/>
    <s v="Red Zone"/>
  </r>
  <r>
    <n v="122"/>
    <x v="1"/>
    <n v="1"/>
    <n v="10"/>
    <n v="-1"/>
    <n v="0"/>
    <s v="L"/>
    <m/>
    <m/>
    <x v="0"/>
    <s v="R"/>
    <m/>
    <n v="1"/>
    <n v="0"/>
    <m/>
    <n v="0"/>
    <n v="2.5"/>
    <s v="Right"/>
    <n v="2.5"/>
    <s v=""/>
    <s v="Field"/>
    <s v="01:  1st &amp; 10+"/>
    <s v="Goal Line"/>
  </r>
  <r>
    <n v="123"/>
    <x v="2"/>
    <n v="2"/>
    <n v="10"/>
    <n v="-1"/>
    <n v="1"/>
    <s v="L"/>
    <m/>
    <m/>
    <x v="1"/>
    <s v="R"/>
    <s v="B"/>
    <n v="1"/>
    <m/>
    <m/>
    <n v="1"/>
    <n v="2.5"/>
    <s v="Right"/>
    <n v="2.5"/>
    <s v=""/>
    <s v="Field"/>
    <s v="03:  2nd &amp; 8+"/>
    <s v="Goal Line"/>
  </r>
  <r>
    <n v="129"/>
    <x v="1"/>
    <n v="1"/>
    <n v="10"/>
    <n v="10"/>
    <n v="4"/>
    <s v="R"/>
    <m/>
    <m/>
    <x v="1"/>
    <s v="L"/>
    <s v="B"/>
    <n v="1"/>
    <m/>
    <m/>
    <n v="4"/>
    <n v="0.5"/>
    <s v="Left"/>
    <n v="2.5"/>
    <s v=""/>
    <s v="Field"/>
    <s v="01:  1st &amp; 10+"/>
    <s v="Red Zone"/>
  </r>
  <r>
    <n v="130"/>
    <x v="2"/>
    <n v="2"/>
    <n v="6"/>
    <n v="6"/>
    <n v="0"/>
    <s v="L"/>
    <m/>
    <m/>
    <x v="1"/>
    <s v="R"/>
    <s v="B"/>
    <n v="1"/>
    <m/>
    <m/>
    <n v="0"/>
    <n v="2.5"/>
    <s v="Right"/>
    <n v="2.5"/>
    <s v=""/>
    <s v="Field"/>
    <s v="04:  2nd &amp; 4 - 7"/>
    <s v="Red Zone"/>
  </r>
  <r>
    <n v="131"/>
    <x v="3"/>
    <n v="3"/>
    <n v="6"/>
    <n v="6"/>
    <n v="3"/>
    <s v="L"/>
    <m/>
    <m/>
    <x v="1"/>
    <s v="R"/>
    <s v="B"/>
    <n v="1"/>
    <m/>
    <m/>
    <n v="3"/>
    <n v="2.5"/>
    <s v="Right"/>
    <n v="2.5"/>
    <s v=""/>
    <s v="Field"/>
    <s v="07:  3rd &amp; 4 - 7"/>
    <s v="Red Zone"/>
  </r>
  <r>
    <n v="132"/>
    <x v="4"/>
    <n v="4"/>
    <n v="3"/>
    <n v="3"/>
    <n v="2"/>
    <s v="R"/>
    <m/>
    <m/>
    <x v="1"/>
    <s v="R"/>
    <s v="B"/>
    <n v="1"/>
    <m/>
    <m/>
    <n v="2"/>
    <n v="2.5"/>
    <s v="Right"/>
    <n v="2.5"/>
    <s v=""/>
    <s v="Boundry"/>
    <s v="09:  4th &amp; 2+"/>
    <s v="Red Zone"/>
  </r>
  <r>
    <n v="139"/>
    <x v="1"/>
    <n v="1"/>
    <n v="10"/>
    <n v="-40"/>
    <n v="2"/>
    <s v="M"/>
    <m/>
    <m/>
    <x v="1"/>
    <s v="R"/>
    <s v="B"/>
    <n v="1"/>
    <m/>
    <m/>
    <n v="2"/>
    <n v="2.5"/>
    <s v="Right"/>
    <n v="2.5"/>
    <s v=""/>
    <s v=""/>
    <s v="01:  1st &amp; 10+"/>
    <s v="21-49"/>
  </r>
  <r>
    <n v="140"/>
    <x v="2"/>
    <n v="2"/>
    <n v="8"/>
    <n v="-42"/>
    <n v="0"/>
    <s v="R"/>
    <m/>
    <m/>
    <x v="0"/>
    <s v="R"/>
    <m/>
    <n v="1"/>
    <n v="0"/>
    <m/>
    <n v="0"/>
    <n v="2.5"/>
    <s v="Right"/>
    <n v="2.5"/>
    <s v=""/>
    <s v="Boundry"/>
    <s v="03:  2nd &amp; 8+"/>
    <s v="21-49"/>
  </r>
  <r>
    <n v="5"/>
    <x v="1"/>
    <n v="1"/>
    <n v="5"/>
    <n v="46"/>
    <n v="25"/>
    <s v="L"/>
    <m/>
    <m/>
    <x v="1"/>
    <s v="R"/>
    <s v="B"/>
    <n v="1"/>
    <m/>
    <m/>
    <n v="25"/>
    <n v="2.5"/>
    <s v="Right"/>
    <n v="2.5"/>
    <s v=""/>
    <s v="Field"/>
    <s v="02:  1st &amp; &lt; 10"/>
    <s v="50-21"/>
  </r>
  <r>
    <n v="6"/>
    <x v="1"/>
    <n v="1"/>
    <n v="10"/>
    <n v="21"/>
    <n v="6"/>
    <s v="R"/>
    <m/>
    <m/>
    <x v="1"/>
    <s v="R"/>
    <s v="B"/>
    <n v="1"/>
    <m/>
    <m/>
    <n v="6"/>
    <n v="2.5"/>
    <s v="Right"/>
    <n v="2.5"/>
    <s v=""/>
    <s v="Boundry"/>
    <s v="01:  1st &amp; 10+"/>
    <s v="50-21"/>
  </r>
  <r>
    <n v="7"/>
    <x v="2"/>
    <n v="2"/>
    <n v="4"/>
    <n v="15"/>
    <n v="2"/>
    <s v="R"/>
    <m/>
    <m/>
    <x v="1"/>
    <s v="L"/>
    <s v="B"/>
    <n v="1"/>
    <m/>
    <m/>
    <n v="2"/>
    <n v="0.5"/>
    <s v="Left"/>
    <n v="2.5"/>
    <s v=""/>
    <s v="Field"/>
    <s v="04:  2nd &amp; 4 - 7"/>
    <s v="Red Zone"/>
  </r>
  <r>
    <n v="9"/>
    <x v="3"/>
    <n v="3"/>
    <n v="4"/>
    <n v="15"/>
    <n v="7"/>
    <s v="L"/>
    <m/>
    <m/>
    <x v="1"/>
    <s v="R"/>
    <s v="B"/>
    <n v="1"/>
    <m/>
    <m/>
    <n v="7"/>
    <n v="2.5"/>
    <s v="Right"/>
    <n v="2.5"/>
    <s v=""/>
    <s v="Field"/>
    <s v="07:  3rd &amp; 4 - 7"/>
    <s v="Red Zone"/>
  </r>
  <r>
    <n v="10"/>
    <x v="1"/>
    <n v="1"/>
    <n v="8"/>
    <n v="8"/>
    <n v="8"/>
    <s v="M"/>
    <m/>
    <m/>
    <x v="1"/>
    <s v="L"/>
    <s v="B"/>
    <n v="1"/>
    <m/>
    <m/>
    <n v="8"/>
    <n v="0.5"/>
    <s v="Left"/>
    <n v="2.5"/>
    <s v=""/>
    <s v=""/>
    <s v="02:  1st &amp; &lt; 10"/>
    <s v="Red Zone"/>
  </r>
  <r>
    <n v="17"/>
    <x v="1"/>
    <n v="1"/>
    <n v="10"/>
    <n v="42"/>
    <n v="4"/>
    <s v="R"/>
    <m/>
    <m/>
    <x v="1"/>
    <s v="L"/>
    <s v="B"/>
    <n v="1"/>
    <m/>
    <m/>
    <n v="4"/>
    <n v="0.5"/>
    <s v="Left"/>
    <n v="2.5"/>
    <s v=""/>
    <s v="Field"/>
    <s v="01:  1st &amp; 10+"/>
    <s v="50-21"/>
  </r>
  <r>
    <n v="18"/>
    <x v="2"/>
    <n v="2"/>
    <n v="6"/>
    <n v="38"/>
    <n v="6"/>
    <s v="R"/>
    <m/>
    <m/>
    <x v="1"/>
    <s v="L"/>
    <s v="B"/>
    <n v="1"/>
    <m/>
    <m/>
    <n v="6"/>
    <n v="0.5"/>
    <s v="Left"/>
    <n v="2.5"/>
    <s v=""/>
    <s v="Field"/>
    <s v="04:  2nd &amp; 4 - 7"/>
    <s v="50-21"/>
  </r>
  <r>
    <n v="20"/>
    <x v="1"/>
    <n v="1"/>
    <n v="15"/>
    <n v="37"/>
    <n v="0"/>
    <s v="L"/>
    <m/>
    <m/>
    <x v="1"/>
    <s v="R"/>
    <s v="B"/>
    <n v="1"/>
    <m/>
    <m/>
    <n v="0"/>
    <n v="2.5"/>
    <s v="Right"/>
    <n v="2.5"/>
    <s v=""/>
    <s v="Field"/>
    <s v="01:  1st &amp; 10+"/>
    <s v="50-21"/>
  </r>
  <r>
    <n v="21"/>
    <x v="2"/>
    <n v="2"/>
    <n v="15"/>
    <n v="37"/>
    <n v="-7"/>
    <s v="R"/>
    <m/>
    <m/>
    <x v="0"/>
    <s v="M"/>
    <m/>
    <n v="1"/>
    <n v="0"/>
    <s v="S"/>
    <n v="-7"/>
    <n v="1.5"/>
    <s v="Middle"/>
    <n v="0.5"/>
    <s v=""/>
    <s v=""/>
    <s v="03:  2nd &amp; 8+"/>
    <s v="50-21"/>
  </r>
  <r>
    <n v="22"/>
    <x v="3"/>
    <n v="3"/>
    <n v="22"/>
    <n v="44"/>
    <n v="0"/>
    <s v="R"/>
    <m/>
    <m/>
    <x v="1"/>
    <s v="R"/>
    <s v="B"/>
    <n v="1"/>
    <m/>
    <m/>
    <n v="0"/>
    <n v="2.5"/>
    <s v="Right"/>
    <n v="2.5"/>
    <s v=""/>
    <s v="Boundry"/>
    <s v="06:  3rd &amp; 8+"/>
    <s v="50-21"/>
  </r>
  <r>
    <n v="34"/>
    <x v="1"/>
    <n v="1"/>
    <n v="10"/>
    <n v="-39"/>
    <n v="7"/>
    <s v="L"/>
    <m/>
    <m/>
    <x v="1"/>
    <s v="R"/>
    <s v="B"/>
    <n v="1"/>
    <m/>
    <m/>
    <n v="7"/>
    <n v="2.5"/>
    <s v="Right"/>
    <n v="2.5"/>
    <s v=""/>
    <s v="Field"/>
    <s v="01:  1st &amp; 10+"/>
    <s v="21-49"/>
  </r>
  <r>
    <n v="35"/>
    <x v="2"/>
    <n v="2"/>
    <n v="3"/>
    <n v="-46"/>
    <n v="5"/>
    <s v="L"/>
    <m/>
    <m/>
    <x v="1"/>
    <s v="R"/>
    <s v="B"/>
    <n v="1"/>
    <m/>
    <m/>
    <n v="5"/>
    <n v="2.5"/>
    <s v="Right"/>
    <n v="2.5"/>
    <s v=""/>
    <s v="Field"/>
    <s v="05:  2nd &amp; &lt; 4"/>
    <s v="21-49"/>
  </r>
  <r>
    <n v="36"/>
    <x v="1"/>
    <n v="1"/>
    <n v="10"/>
    <n v="49"/>
    <n v="49"/>
    <s v="L"/>
    <m/>
    <m/>
    <x v="1"/>
    <s v="R"/>
    <s v="B"/>
    <n v="1"/>
    <m/>
    <m/>
    <n v="49"/>
    <n v="2.5"/>
    <s v="Right"/>
    <n v="2.5"/>
    <s v=""/>
    <s v="Field"/>
    <s v="01:  1st &amp; 10+"/>
    <s v="50-21"/>
  </r>
  <r>
    <n v="47"/>
    <x v="1"/>
    <n v="1"/>
    <n v="10"/>
    <n v="43"/>
    <n v="4"/>
    <s v="L"/>
    <m/>
    <m/>
    <x v="1"/>
    <s v="R"/>
    <s v="B"/>
    <n v="1"/>
    <m/>
    <m/>
    <n v="4"/>
    <n v="2.5"/>
    <s v="Right"/>
    <n v="2.5"/>
    <s v=""/>
    <s v="Field"/>
    <s v="01:  1st &amp; 10+"/>
    <s v="50-21"/>
  </r>
  <r>
    <n v="48"/>
    <x v="2"/>
    <n v="2"/>
    <n v="6"/>
    <n v="39"/>
    <n v="3"/>
    <s v="L"/>
    <m/>
    <m/>
    <x v="1"/>
    <s v="R"/>
    <s v="B"/>
    <n v="1"/>
    <m/>
    <m/>
    <n v="3"/>
    <n v="2.5"/>
    <s v="Right"/>
    <n v="2.5"/>
    <s v=""/>
    <s v="Field"/>
    <s v="04:  2nd &amp; 4 - 7"/>
    <s v="50-21"/>
  </r>
  <r>
    <n v="50"/>
    <x v="3"/>
    <n v="3"/>
    <n v="3"/>
    <n v="36"/>
    <n v="1"/>
    <s v="M"/>
    <m/>
    <m/>
    <x v="1"/>
    <s v="R"/>
    <s v="B"/>
    <n v="1"/>
    <m/>
    <m/>
    <n v="1"/>
    <n v="2.5"/>
    <s v="Right"/>
    <n v="2.5"/>
    <s v=""/>
    <s v=""/>
    <s v="08:  3rd &amp; &lt; 4"/>
    <s v="50-21"/>
  </r>
  <r>
    <n v="54"/>
    <x v="1"/>
    <n v="1"/>
    <n v="10"/>
    <n v="25"/>
    <n v="6"/>
    <s v="R"/>
    <m/>
    <m/>
    <x v="1"/>
    <s v="L"/>
    <s v="B"/>
    <n v="1"/>
    <m/>
    <m/>
    <n v="6"/>
    <n v="0.5"/>
    <s v="Left"/>
    <n v="2.5"/>
    <s v=""/>
    <s v="Field"/>
    <s v="01:  1st &amp; 10+"/>
    <s v="50-21"/>
  </r>
  <r>
    <n v="56"/>
    <x v="2"/>
    <n v="2"/>
    <n v="10"/>
    <n v="14"/>
    <n v="-2"/>
    <s v="M"/>
    <m/>
    <m/>
    <x v="1"/>
    <s v="L"/>
    <s v="B"/>
    <n v="1"/>
    <m/>
    <m/>
    <n v="-2"/>
    <n v="0.5"/>
    <s v="Left"/>
    <n v="2.5"/>
    <s v=""/>
    <s v=""/>
    <s v="03:  2nd &amp; 8+"/>
    <s v="Red Zone"/>
  </r>
  <r>
    <n v="57"/>
    <x v="3"/>
    <n v="3"/>
    <n v="12"/>
    <n v="16"/>
    <n v="-5"/>
    <s v="M"/>
    <m/>
    <m/>
    <x v="0"/>
    <s v="R"/>
    <m/>
    <n v="1"/>
    <n v="0"/>
    <m/>
    <n v="-5"/>
    <n v="2.5"/>
    <s v="Right"/>
    <n v="2.5"/>
    <s v=""/>
    <s v=""/>
    <s v="06:  3rd &amp; 8+"/>
    <s v="Red Zone"/>
  </r>
  <r>
    <n v="58"/>
    <x v="3"/>
    <n v="3"/>
    <n v="17"/>
    <n v="21"/>
    <n v="5"/>
    <s v="M"/>
    <m/>
    <m/>
    <x v="1"/>
    <s v="L"/>
    <s v="B"/>
    <n v="1"/>
    <m/>
    <m/>
    <n v="5"/>
    <n v="0.5"/>
    <s v="Left"/>
    <n v="2.5"/>
    <s v=""/>
    <s v=""/>
    <s v="06:  3rd &amp; 8+"/>
    <s v="50-21"/>
  </r>
  <r>
    <n v="59"/>
    <x v="4"/>
    <n v="4"/>
    <n v="12"/>
    <n v="16"/>
    <n v="0"/>
    <s v="L"/>
    <m/>
    <m/>
    <x v="1"/>
    <s v="R"/>
    <s v="B"/>
    <n v="1"/>
    <m/>
    <m/>
    <n v="0"/>
    <n v="2.5"/>
    <s v="Right"/>
    <n v="2.5"/>
    <s v=""/>
    <s v="Field"/>
    <s v="09:  4th &amp; 2+"/>
    <s v="Red Zone"/>
  </r>
  <r>
    <n v="73"/>
    <x v="1"/>
    <n v="1"/>
    <n v="10"/>
    <n v="35"/>
    <n v="-1"/>
    <s v="L"/>
    <m/>
    <m/>
    <x v="1"/>
    <s v="L"/>
    <s v="B"/>
    <n v="1"/>
    <m/>
    <m/>
    <n v="-1"/>
    <n v="0.5"/>
    <s v="Left"/>
    <n v="2.5"/>
    <s v=""/>
    <s v="Boundry"/>
    <s v="01:  1st &amp; 10+"/>
    <s v="50-21"/>
  </r>
  <r>
    <n v="74"/>
    <x v="2"/>
    <n v="2"/>
    <n v="11"/>
    <n v="36"/>
    <n v="0"/>
    <s v="L"/>
    <m/>
    <m/>
    <x v="0"/>
    <s v="L"/>
    <m/>
    <n v="1"/>
    <n v="0"/>
    <m/>
    <n v="0"/>
    <n v="0.5"/>
    <s v="Left"/>
    <n v="2.5"/>
    <s v=""/>
    <s v="Boundry"/>
    <s v="03:  2nd &amp; 8+"/>
    <s v="50-21"/>
  </r>
  <r>
    <n v="75"/>
    <x v="3"/>
    <n v="3"/>
    <n v="11"/>
    <n v="36"/>
    <n v="3"/>
    <s v="L"/>
    <m/>
    <m/>
    <x v="1"/>
    <s v="R"/>
    <s v="B"/>
    <n v="1"/>
    <m/>
    <m/>
    <n v="3"/>
    <n v="2.5"/>
    <s v="Right"/>
    <n v="2.5"/>
    <s v=""/>
    <s v="Field"/>
    <s v="06:  3rd &amp; 8+"/>
    <s v="50-21"/>
  </r>
  <r>
    <n v="76"/>
    <x v="4"/>
    <n v="4"/>
    <n v="8"/>
    <n v="33"/>
    <n v="0"/>
    <s v="L"/>
    <m/>
    <m/>
    <x v="0"/>
    <s v="R"/>
    <m/>
    <n v="1"/>
    <n v="0"/>
    <m/>
    <n v="0"/>
    <n v="2.5"/>
    <s v="Right"/>
    <n v="2.5"/>
    <s v=""/>
    <s v="Field"/>
    <s v="09:  4th &amp; 2+"/>
    <s v="50-21"/>
  </r>
  <r>
    <n v="85"/>
    <x v="1"/>
    <n v="1"/>
    <n v="10"/>
    <n v="-47"/>
    <n v="0"/>
    <s v="L"/>
    <m/>
    <m/>
    <x v="0"/>
    <s v="R"/>
    <m/>
    <n v="1"/>
    <n v="0"/>
    <m/>
    <n v="0"/>
    <n v="2.5"/>
    <s v="Right"/>
    <n v="2.5"/>
    <s v=""/>
    <s v="Field"/>
    <s v="01:  1st &amp; 10+"/>
    <s v="21-49"/>
  </r>
  <r>
    <n v="86"/>
    <x v="2"/>
    <n v="2"/>
    <n v="10"/>
    <n v="-47"/>
    <n v="16"/>
    <s v="L"/>
    <m/>
    <m/>
    <x v="1"/>
    <s v="L"/>
    <s v="B"/>
    <n v="1"/>
    <m/>
    <m/>
    <n v="16"/>
    <n v="0.5"/>
    <s v="Left"/>
    <n v="2.5"/>
    <s v=""/>
    <s v="Boundry"/>
    <s v="03:  2nd &amp; 8+"/>
    <s v="21-49"/>
  </r>
  <r>
    <n v="87"/>
    <x v="1"/>
    <n v="1"/>
    <n v="10"/>
    <n v="37"/>
    <n v="0"/>
    <s v="L"/>
    <m/>
    <m/>
    <x v="0"/>
    <s v="M"/>
    <m/>
    <n v="1"/>
    <n v="0"/>
    <s v="S"/>
    <n v="0"/>
    <n v="1.5"/>
    <s v="Middle"/>
    <n v="0.5"/>
    <s v=""/>
    <s v=""/>
    <s v="01:  1st &amp; 10+"/>
    <s v="50-21"/>
  </r>
  <r>
    <n v="102"/>
    <x v="1"/>
    <n v="1"/>
    <n v="10"/>
    <n v="37"/>
    <n v="7"/>
    <s v="R"/>
    <m/>
    <m/>
    <x v="1"/>
    <s v="R"/>
    <s v="B"/>
    <n v="1"/>
    <m/>
    <m/>
    <n v="7"/>
    <n v="2.5"/>
    <s v="Right"/>
    <n v="2.5"/>
    <s v=""/>
    <s v="Boundry"/>
    <s v="01:  1st &amp; 10+"/>
    <s v="50-21"/>
  </r>
  <r>
    <n v="103"/>
    <x v="2"/>
    <n v="2"/>
    <n v="3"/>
    <n v="30"/>
    <n v="2"/>
    <s v="M"/>
    <m/>
    <m/>
    <x v="1"/>
    <s v="R"/>
    <s v="B"/>
    <n v="1"/>
    <m/>
    <m/>
    <n v="2"/>
    <n v="2.5"/>
    <s v="Right"/>
    <n v="2.5"/>
    <s v=""/>
    <s v=""/>
    <s v="05:  2nd &amp; &lt; 4"/>
    <s v="50-21"/>
  </r>
  <r>
    <n v="104"/>
    <x v="3"/>
    <n v="3"/>
    <n v="1"/>
    <n v="28"/>
    <n v="3"/>
    <s v="R"/>
    <m/>
    <m/>
    <x v="1"/>
    <s v="L"/>
    <s v="B"/>
    <n v="1"/>
    <m/>
    <m/>
    <n v="3"/>
    <n v="0.5"/>
    <s v="Left"/>
    <n v="2.5"/>
    <s v=""/>
    <s v="Field"/>
    <s v="08:  3rd &amp; &lt; 4"/>
    <s v="50-21"/>
  </r>
  <r>
    <n v="105"/>
    <x v="1"/>
    <n v="1"/>
    <n v="10"/>
    <n v="25"/>
    <n v="20"/>
    <s v="R"/>
    <m/>
    <m/>
    <x v="0"/>
    <s v="L"/>
    <m/>
    <n v="1"/>
    <n v="1"/>
    <s v="D"/>
    <n v="20"/>
    <n v="0.5"/>
    <s v="Left"/>
    <n v="2.5"/>
    <s v=""/>
    <s v="Field"/>
    <s v="01:  1st &amp; 10+"/>
    <s v="50-21"/>
  </r>
  <r>
    <n v="106"/>
    <x v="1"/>
    <n v="1"/>
    <n v="5"/>
    <n v="5"/>
    <n v="2"/>
    <s v="L"/>
    <m/>
    <m/>
    <x v="0"/>
    <s v="R"/>
    <m/>
    <n v="1"/>
    <n v="0"/>
    <m/>
    <n v="2"/>
    <n v="2.5"/>
    <s v="Right"/>
    <n v="2.5"/>
    <s v=""/>
    <s v="Field"/>
    <s v="02:  1st &amp; &lt; 10"/>
    <s v="Red Zone"/>
  </r>
  <r>
    <n v="108"/>
    <x v="2"/>
    <n v="2"/>
    <n v="3"/>
    <n v="3"/>
    <n v="3"/>
    <s v="M"/>
    <m/>
    <m/>
    <x v="1"/>
    <s v="R"/>
    <s v="B"/>
    <n v="1"/>
    <m/>
    <m/>
    <n v="3"/>
    <n v="2.5"/>
    <s v="Right"/>
    <n v="2.5"/>
    <s v=""/>
    <s v=""/>
    <s v="05:  2nd &amp; &lt; 4"/>
    <s v="Red Zone"/>
  </r>
  <r>
    <n v="120"/>
    <x v="1"/>
    <n v="1"/>
    <n v="10"/>
    <n v="-45"/>
    <n v="16"/>
    <s v="R"/>
    <m/>
    <m/>
    <x v="0"/>
    <s v="R"/>
    <m/>
    <n v="1"/>
    <n v="1"/>
    <s v="D"/>
    <n v="16"/>
    <n v="2.5"/>
    <s v="Right"/>
    <n v="2.5"/>
    <s v=""/>
    <s v="Boundry"/>
    <s v="01:  1st &amp; 10+"/>
    <s v="21-49"/>
  </r>
  <r>
    <n v="121"/>
    <x v="1"/>
    <n v="1"/>
    <n v="10"/>
    <n v="39"/>
    <n v="1"/>
    <s v="R"/>
    <m/>
    <m/>
    <x v="1"/>
    <s v="L"/>
    <s v="B"/>
    <n v="1"/>
    <m/>
    <m/>
    <n v="1"/>
    <n v="0.5"/>
    <s v="Left"/>
    <n v="2.5"/>
    <s v=""/>
    <s v="Field"/>
    <s v="01:  1st &amp; 10+"/>
    <s v="50-21"/>
  </r>
  <r>
    <n v="122"/>
    <x v="2"/>
    <n v="2"/>
    <n v="9"/>
    <n v="38"/>
    <n v="7"/>
    <s v="R"/>
    <m/>
    <m/>
    <x v="1"/>
    <s v="L"/>
    <s v="B"/>
    <n v="1"/>
    <m/>
    <m/>
    <n v="7"/>
    <n v="0.5"/>
    <s v="Left"/>
    <n v="2.5"/>
    <s v=""/>
    <s v="Field"/>
    <s v="03:  2nd &amp; 8+"/>
    <s v="50-21"/>
  </r>
  <r>
    <n v="123"/>
    <x v="3"/>
    <n v="3"/>
    <n v="2"/>
    <n v="31"/>
    <n v="2"/>
    <s v="R"/>
    <m/>
    <m/>
    <x v="1"/>
    <s v="R"/>
    <s v="B"/>
    <n v="1"/>
    <m/>
    <m/>
    <n v="2"/>
    <n v="2.5"/>
    <s v="Right"/>
    <n v="2.5"/>
    <s v=""/>
    <s v="Boundry"/>
    <s v="08:  3rd &amp; &lt; 4"/>
    <s v="50-21"/>
  </r>
  <r>
    <n v="125"/>
    <x v="1"/>
    <n v="1"/>
    <n v="10"/>
    <n v="29"/>
    <n v="0"/>
    <s v="R"/>
    <m/>
    <m/>
    <x v="0"/>
    <s v="L"/>
    <m/>
    <n v="1"/>
    <n v="0"/>
    <m/>
    <n v="0"/>
    <n v="0.5"/>
    <s v="Left"/>
    <n v="2.5"/>
    <s v=""/>
    <s v="Field"/>
    <s v="01:  1st &amp; 10+"/>
    <s v="50-21"/>
  </r>
  <r>
    <n v="128"/>
    <x v="2"/>
    <n v="2"/>
    <n v="10"/>
    <n v="39"/>
    <n v="0"/>
    <s v="R"/>
    <m/>
    <m/>
    <x v="0"/>
    <s v="L"/>
    <m/>
    <n v="1"/>
    <n v="0"/>
    <m/>
    <n v="0"/>
    <n v="0.5"/>
    <s v="Left"/>
    <n v="2.5"/>
    <s v=""/>
    <s v="Field"/>
    <s v="03:  2nd &amp; 8+"/>
    <s v="50-21"/>
  </r>
  <r>
    <n v="129"/>
    <x v="3"/>
    <n v="3"/>
    <n v="10"/>
    <n v="39"/>
    <n v="0"/>
    <s v="R"/>
    <m/>
    <m/>
    <x v="0"/>
    <s v="L"/>
    <m/>
    <n v="1"/>
    <n v="0"/>
    <m/>
    <n v="0"/>
    <n v="0.5"/>
    <s v="Left"/>
    <n v="2.5"/>
    <s v=""/>
    <s v="Field"/>
    <s v="06:  3rd &amp; 8+"/>
    <s v="50-21"/>
  </r>
  <r>
    <n v="131"/>
    <x v="1"/>
    <n v="1"/>
    <n v="10"/>
    <n v="26"/>
    <n v="4"/>
    <s v="L"/>
    <m/>
    <m/>
    <x v="1"/>
    <s v="R"/>
    <s v="B"/>
    <n v="1"/>
    <m/>
    <m/>
    <n v="4"/>
    <n v="2.5"/>
    <s v="Right"/>
    <n v="2.5"/>
    <s v=""/>
    <s v="Field"/>
    <s v="01:  1st &amp; 10+"/>
    <s v="50-21"/>
  </r>
  <r>
    <n v="132"/>
    <x v="2"/>
    <n v="2"/>
    <n v="6"/>
    <n v="22"/>
    <n v="22"/>
    <s v="M"/>
    <m/>
    <m/>
    <x v="1"/>
    <s v="L"/>
    <s v="B"/>
    <n v="1"/>
    <m/>
    <m/>
    <n v="22"/>
    <n v="0.5"/>
    <s v="Left"/>
    <n v="2.5"/>
    <s v=""/>
    <s v=""/>
    <s v="04:  2nd &amp; 4 - 7"/>
    <s v="50-21"/>
  </r>
  <r>
    <n v="153"/>
    <x v="1"/>
    <n v="1"/>
    <n v="10"/>
    <n v="-30"/>
    <n v="5"/>
    <s v="M"/>
    <m/>
    <m/>
    <x v="1"/>
    <s v="R"/>
    <s v="B"/>
    <n v="1"/>
    <m/>
    <m/>
    <n v="5"/>
    <n v="2.5"/>
    <s v="Right"/>
    <n v="2.5"/>
    <s v=""/>
    <s v=""/>
    <s v="01:  1st &amp; 10+"/>
    <s v="21-49"/>
  </r>
  <r>
    <n v="154"/>
    <x v="2"/>
    <n v="2"/>
    <n v="5"/>
    <n v="-35"/>
    <n v="1"/>
    <s v="M"/>
    <m/>
    <m/>
    <x v="1"/>
    <s v="R"/>
    <s v="B"/>
    <n v="1"/>
    <m/>
    <m/>
    <n v="1"/>
    <n v="2.5"/>
    <s v="Right"/>
    <n v="2.5"/>
    <s v=""/>
    <s v=""/>
    <s v="04:  2nd &amp; 4 - 7"/>
    <s v="21-49"/>
  </r>
  <r>
    <n v="155"/>
    <x v="3"/>
    <n v="3"/>
    <n v="4"/>
    <n v="-36"/>
    <n v="10"/>
    <s v="M"/>
    <m/>
    <m/>
    <x v="1"/>
    <s v="L"/>
    <s v="C"/>
    <n v="1"/>
    <m/>
    <m/>
    <n v="10"/>
    <n v="0.5"/>
    <s v="Left"/>
    <n v="2.5"/>
    <s v=""/>
    <s v=""/>
    <s v="07:  3rd &amp; 4 - 7"/>
    <s v="21-49"/>
  </r>
  <r>
    <n v="156"/>
    <x v="1"/>
    <n v="1"/>
    <n v="10"/>
    <n v="-46"/>
    <n v="12"/>
    <s v="L"/>
    <m/>
    <m/>
    <x v="1"/>
    <s v="R"/>
    <s v="B"/>
    <n v="1"/>
    <m/>
    <m/>
    <n v="12"/>
    <n v="2.5"/>
    <s v="Right"/>
    <n v="2.5"/>
    <s v=""/>
    <s v="Field"/>
    <s v="01:  1st &amp; 10+"/>
    <s v="21-49"/>
  </r>
  <r>
    <n v="157"/>
    <x v="1"/>
    <n v="1"/>
    <n v="10"/>
    <n v="42"/>
    <n v="6"/>
    <s v="L"/>
    <m/>
    <m/>
    <x v="1"/>
    <s v="R"/>
    <s v="B"/>
    <n v="1"/>
    <m/>
    <m/>
    <n v="6"/>
    <n v="2.5"/>
    <s v="Right"/>
    <n v="2.5"/>
    <s v=""/>
    <s v="Field"/>
    <s v="01:  1st &amp; 10+"/>
    <s v="50-21"/>
  </r>
  <r>
    <n v="158"/>
    <x v="2"/>
    <n v="2"/>
    <n v="4"/>
    <n v="36"/>
    <n v="-1"/>
    <s v="L"/>
    <m/>
    <m/>
    <x v="1"/>
    <s v="R"/>
    <s v="B"/>
    <n v="1"/>
    <m/>
    <m/>
    <n v="-1"/>
    <n v="2.5"/>
    <s v="Right"/>
    <n v="2.5"/>
    <s v=""/>
    <s v="Field"/>
    <s v="04:  2nd &amp; 4 - 7"/>
    <s v="50-21"/>
  </r>
  <r>
    <n v="160"/>
    <x v="3"/>
    <n v="3"/>
    <n v="10"/>
    <n v="42"/>
    <n v="-7"/>
    <s v="R"/>
    <m/>
    <m/>
    <x v="0"/>
    <s v="M"/>
    <m/>
    <n v="1"/>
    <n v="0"/>
    <s v="S"/>
    <n v="-7"/>
    <n v="1.5"/>
    <s v="Middle"/>
    <n v="0.5"/>
    <s v=""/>
    <s v=""/>
    <s v="06:  3rd &amp; 8+"/>
    <s v="50-21"/>
  </r>
  <r>
    <n v="162"/>
    <x v="4"/>
    <n v="4"/>
    <n v="17"/>
    <n v="49"/>
    <n v="0"/>
    <s v="R"/>
    <m/>
    <m/>
    <x v="0"/>
    <s v="L"/>
    <m/>
    <n v="1"/>
    <n v="0"/>
    <m/>
    <n v="0"/>
    <n v="0.5"/>
    <s v="Left"/>
    <n v="2.5"/>
    <s v=""/>
    <s v="Field"/>
    <s v="09:  4th &amp; 2+"/>
    <s v="50-21"/>
  </r>
  <r>
    <n v="3"/>
    <x v="1"/>
    <n v="1"/>
    <n v="5"/>
    <n v="-36"/>
    <n v="3"/>
    <s v="L"/>
    <m/>
    <m/>
    <x v="1"/>
    <s v="L"/>
    <s v="B"/>
    <n v="1"/>
    <m/>
    <m/>
    <n v="3"/>
    <n v="0.5"/>
    <s v="Left"/>
    <n v="2.5"/>
    <s v=""/>
    <s v="Boundry"/>
    <s v="02:  1st &amp; &lt; 10"/>
    <s v="21-49"/>
  </r>
  <r>
    <n v="4"/>
    <x v="2"/>
    <n v="2"/>
    <n v="2"/>
    <n v="-39"/>
    <n v="0"/>
    <s v="L"/>
    <m/>
    <m/>
    <x v="0"/>
    <s v="R"/>
    <m/>
    <n v="1"/>
    <n v="0"/>
    <m/>
    <n v="0"/>
    <n v="2.5"/>
    <s v="Right"/>
    <n v="2.5"/>
    <s v=""/>
    <s v="Field"/>
    <s v="05:  2nd &amp; &lt; 4"/>
    <s v="21-49"/>
  </r>
  <r>
    <n v="5"/>
    <x v="3"/>
    <n v="3"/>
    <n v="2"/>
    <n v="-39"/>
    <n v="53"/>
    <s v="L"/>
    <m/>
    <m/>
    <x v="1"/>
    <s v="R"/>
    <s v="B"/>
    <n v="1"/>
    <m/>
    <m/>
    <n v="53"/>
    <n v="2.5"/>
    <s v="Right"/>
    <n v="2.5"/>
    <s v=""/>
    <s v="Field"/>
    <s v="08:  3rd &amp; &lt; 4"/>
    <s v="21-49"/>
  </r>
  <r>
    <n v="6"/>
    <x v="1"/>
    <n v="1"/>
    <n v="8"/>
    <n v="8"/>
    <n v="8"/>
    <s v="M"/>
    <m/>
    <m/>
    <x v="1"/>
    <s v="R"/>
    <s v="B"/>
    <n v="1"/>
    <m/>
    <m/>
    <n v="8"/>
    <n v="2.5"/>
    <s v="Right"/>
    <n v="2.5"/>
    <s v=""/>
    <s v=""/>
    <s v="02:  1st &amp; &lt; 10"/>
    <s v="Red Zone"/>
  </r>
  <r>
    <n v="21"/>
    <x v="1"/>
    <n v="1"/>
    <n v="10"/>
    <n v="-44"/>
    <n v="1"/>
    <s v="R"/>
    <m/>
    <m/>
    <x v="1"/>
    <s v="R"/>
    <s v="B"/>
    <n v="1"/>
    <m/>
    <m/>
    <n v="1"/>
    <n v="2.5"/>
    <s v="Right"/>
    <n v="2.5"/>
    <s v=""/>
    <s v="Boundry"/>
    <s v="01:  1st &amp; 10+"/>
    <s v="21-49"/>
  </r>
  <r>
    <n v="22"/>
    <x v="2"/>
    <n v="2"/>
    <n v="9"/>
    <n v="-45"/>
    <n v="1"/>
    <s v="R"/>
    <m/>
    <m/>
    <x v="1"/>
    <s v="L"/>
    <s v="B"/>
    <n v="1"/>
    <m/>
    <m/>
    <n v="1"/>
    <n v="0.5"/>
    <s v="Left"/>
    <n v="2.5"/>
    <s v=""/>
    <s v="Field"/>
    <s v="03:  2nd &amp; 8+"/>
    <s v="21-49"/>
  </r>
  <r>
    <n v="25"/>
    <x v="3"/>
    <n v="3"/>
    <n v="8"/>
    <n v="-46"/>
    <n v="0"/>
    <s v="R"/>
    <m/>
    <m/>
    <x v="0"/>
    <s v="R"/>
    <m/>
    <n v="1"/>
    <n v="0"/>
    <m/>
    <n v="0"/>
    <n v="2.5"/>
    <s v="Right"/>
    <n v="2.5"/>
    <s v=""/>
    <s v="Boundry"/>
    <s v="06:  3rd &amp; 8+"/>
    <s v="21-49"/>
  </r>
  <r>
    <n v="31"/>
    <x v="1"/>
    <n v="1"/>
    <n v="10"/>
    <n v="-40"/>
    <n v="14"/>
    <s v="R"/>
    <m/>
    <m/>
    <x v="1"/>
    <s v="R"/>
    <s v="C"/>
    <n v="1"/>
    <m/>
    <m/>
    <n v="14"/>
    <n v="2.5"/>
    <s v="Right"/>
    <n v="2.5"/>
    <s v=""/>
    <s v="Boundry"/>
    <s v="01:  1st &amp; 10+"/>
    <s v="21-49"/>
  </r>
  <r>
    <n v="32"/>
    <x v="1"/>
    <n v="1"/>
    <n v="10"/>
    <n v="46"/>
    <n v="16"/>
    <s v="R"/>
    <m/>
    <m/>
    <x v="1"/>
    <s v="R"/>
    <s v="B"/>
    <n v="1"/>
    <m/>
    <m/>
    <n v="16"/>
    <n v="2.5"/>
    <s v="Right"/>
    <n v="2.5"/>
    <s v=""/>
    <s v="Boundry"/>
    <s v="01:  1st &amp; 10+"/>
    <s v="50-21"/>
  </r>
  <r>
    <n v="33"/>
    <x v="1"/>
    <n v="1"/>
    <n v="10"/>
    <n v="30"/>
    <n v="-3"/>
    <s v="R"/>
    <m/>
    <m/>
    <x v="1"/>
    <s v="R"/>
    <s v="B"/>
    <n v="1"/>
    <m/>
    <m/>
    <n v="-3"/>
    <n v="2.5"/>
    <s v="Right"/>
    <n v="2.5"/>
    <s v=""/>
    <s v="Boundry"/>
    <s v="01:  1st &amp; 10+"/>
    <s v="50-21"/>
  </r>
  <r>
    <n v="34"/>
    <x v="2"/>
    <n v="2"/>
    <n v="13"/>
    <n v="33"/>
    <n v="0"/>
    <s v="R"/>
    <m/>
    <m/>
    <x v="1"/>
    <s v="R"/>
    <s v="B"/>
    <n v="1"/>
    <m/>
    <m/>
    <n v="0"/>
    <n v="2.5"/>
    <s v="Right"/>
    <n v="2.5"/>
    <s v=""/>
    <s v="Boundry"/>
    <s v="03:  2nd &amp; 8+"/>
    <s v="50-21"/>
  </r>
  <r>
    <n v="42"/>
    <x v="1"/>
    <n v="1"/>
    <n v="10"/>
    <n v="-20"/>
    <n v="0"/>
    <s v="R"/>
    <m/>
    <m/>
    <x v="1"/>
    <s v="R"/>
    <s v="B"/>
    <n v="1"/>
    <m/>
    <m/>
    <n v="0"/>
    <n v="2.5"/>
    <s v="Right"/>
    <n v="2.5"/>
    <s v=""/>
    <s v="Boundry"/>
    <s v="01:  1st &amp; 10+"/>
    <s v="0-20"/>
  </r>
  <r>
    <n v="43"/>
    <x v="2"/>
    <n v="2"/>
    <n v="10"/>
    <n v="-20"/>
    <n v="1"/>
    <s v="R"/>
    <m/>
    <m/>
    <x v="1"/>
    <s v="L"/>
    <s v="B"/>
    <n v="1"/>
    <m/>
    <m/>
    <n v="1"/>
    <n v="0.5"/>
    <s v="Left"/>
    <n v="2.5"/>
    <s v=""/>
    <s v="Field"/>
    <s v="03:  2nd &amp; 8+"/>
    <s v="0-20"/>
  </r>
  <r>
    <n v="44"/>
    <x v="3"/>
    <n v="3"/>
    <n v="9"/>
    <n v="-21"/>
    <n v="0"/>
    <s v="L"/>
    <m/>
    <m/>
    <x v="0"/>
    <s v="L"/>
    <m/>
    <n v="1"/>
    <n v="0"/>
    <m/>
    <n v="0"/>
    <n v="0.5"/>
    <s v="Left"/>
    <n v="2.5"/>
    <s v=""/>
    <s v="Boundry"/>
    <s v="06:  3rd &amp; 8+"/>
    <s v="21-49"/>
  </r>
  <r>
    <n v="59"/>
    <x v="1"/>
    <n v="1"/>
    <n v="10"/>
    <n v="-20"/>
    <n v="1"/>
    <s v="L"/>
    <m/>
    <m/>
    <x v="1"/>
    <s v="R"/>
    <s v="B"/>
    <n v="1"/>
    <m/>
    <m/>
    <n v="1"/>
    <n v="2.5"/>
    <s v="Right"/>
    <n v="2.5"/>
    <s v=""/>
    <s v="Field"/>
    <s v="01:  1st &amp; 10+"/>
    <s v="0-20"/>
  </r>
  <r>
    <n v="60"/>
    <x v="2"/>
    <n v="2"/>
    <n v="9"/>
    <n v="-21"/>
    <n v="10"/>
    <s v="M"/>
    <m/>
    <m/>
    <x v="1"/>
    <s v="L"/>
    <s v="B"/>
    <n v="1"/>
    <m/>
    <m/>
    <n v="10"/>
    <n v="0.5"/>
    <s v="Left"/>
    <n v="2.5"/>
    <s v=""/>
    <s v=""/>
    <s v="03:  2nd &amp; 8+"/>
    <s v="21-49"/>
  </r>
  <r>
    <n v="61"/>
    <x v="1"/>
    <n v="1"/>
    <n v="10"/>
    <n v="-31"/>
    <n v="27"/>
    <s v="L"/>
    <m/>
    <m/>
    <x v="1"/>
    <s v="R"/>
    <s v="B"/>
    <n v="1"/>
    <m/>
    <m/>
    <n v="27"/>
    <n v="2.5"/>
    <s v="Right"/>
    <n v="2.5"/>
    <s v=""/>
    <s v="Field"/>
    <s v="01:  1st &amp; 10+"/>
    <s v="21-49"/>
  </r>
  <r>
    <n v="62"/>
    <x v="1"/>
    <n v="1"/>
    <n v="10"/>
    <n v="42"/>
    <n v="1"/>
    <s v="R"/>
    <m/>
    <m/>
    <x v="1"/>
    <s v="R"/>
    <s v="B"/>
    <n v="1"/>
    <m/>
    <m/>
    <n v="1"/>
    <n v="2.5"/>
    <s v="Right"/>
    <n v="2.5"/>
    <s v=""/>
    <s v="Boundry"/>
    <s v="01:  1st &amp; 10+"/>
    <s v="50-21"/>
  </r>
  <r>
    <n v="63"/>
    <x v="2"/>
    <n v="2"/>
    <n v="9"/>
    <n v="41"/>
    <n v="-4"/>
    <s v="R"/>
    <m/>
    <m/>
    <x v="1"/>
    <s v="L"/>
    <s v="B"/>
    <n v="1"/>
    <m/>
    <m/>
    <n v="-4"/>
    <n v="0.5"/>
    <s v="Left"/>
    <n v="2.5"/>
    <s v=""/>
    <s v="Field"/>
    <s v="03:  2nd &amp; 8+"/>
    <s v="50-21"/>
  </r>
  <r>
    <n v="78"/>
    <x v="1"/>
    <n v="1"/>
    <n v="10"/>
    <n v="-7"/>
    <n v="8"/>
    <s v="R"/>
    <m/>
    <m/>
    <x v="1"/>
    <s v="R"/>
    <s v="B"/>
    <n v="1"/>
    <m/>
    <m/>
    <n v="8"/>
    <n v="2.5"/>
    <s v="Right"/>
    <n v="2.5"/>
    <s v=""/>
    <s v="Boundry"/>
    <s v="01:  1st &amp; 10+"/>
    <s v="0-20"/>
  </r>
  <r>
    <n v="80"/>
    <x v="2"/>
    <n v="2"/>
    <n v="7"/>
    <n v="-10"/>
    <n v="2"/>
    <s v="R"/>
    <m/>
    <m/>
    <x v="1"/>
    <s v="R"/>
    <s v="B"/>
    <n v="1"/>
    <m/>
    <m/>
    <n v="2"/>
    <n v="2.5"/>
    <s v="Right"/>
    <n v="2.5"/>
    <s v=""/>
    <s v="Boundry"/>
    <s v="04:  2nd &amp; 4 - 7"/>
    <s v="0-20"/>
  </r>
  <r>
    <n v="81"/>
    <x v="3"/>
    <n v="3"/>
    <n v="5"/>
    <n v="-12"/>
    <n v="6"/>
    <s v="R"/>
    <m/>
    <m/>
    <x v="1"/>
    <s v="L"/>
    <s v="B"/>
    <n v="1"/>
    <m/>
    <m/>
    <n v="6"/>
    <n v="0.5"/>
    <s v="Left"/>
    <n v="2.5"/>
    <s v=""/>
    <s v="Field"/>
    <s v="07:  3rd &amp; 4 - 7"/>
    <s v="0-20"/>
  </r>
  <r>
    <n v="82"/>
    <x v="1"/>
    <n v="1"/>
    <n v="10"/>
    <n v="-18"/>
    <n v="0"/>
    <s v="R"/>
    <m/>
    <m/>
    <x v="0"/>
    <s v="R"/>
    <m/>
    <n v="1"/>
    <n v="0"/>
    <m/>
    <n v="0"/>
    <n v="2.5"/>
    <s v="Right"/>
    <n v="2.5"/>
    <s v=""/>
    <s v="Boundry"/>
    <s v="01:  1st &amp; 10+"/>
    <s v="0-20"/>
  </r>
  <r>
    <n v="83"/>
    <x v="2"/>
    <n v="2"/>
    <n v="10"/>
    <n v="-18"/>
    <n v="0"/>
    <s v="R"/>
    <m/>
    <m/>
    <x v="0"/>
    <s v="L"/>
    <m/>
    <n v="1"/>
    <n v="0"/>
    <m/>
    <n v="0"/>
    <n v="0.5"/>
    <s v="Left"/>
    <n v="2.5"/>
    <s v=""/>
    <s v="Field"/>
    <s v="03:  2nd &amp; 8+"/>
    <s v="0-20"/>
  </r>
  <r>
    <n v="84"/>
    <x v="3"/>
    <n v="3"/>
    <n v="10"/>
    <n v="-18"/>
    <n v="-11"/>
    <s v="R"/>
    <m/>
    <m/>
    <x v="1"/>
    <s v="L"/>
    <s v="B"/>
    <n v="1"/>
    <m/>
    <m/>
    <n v="-11"/>
    <n v="0.5"/>
    <s v="Left"/>
    <n v="2.5"/>
    <s v=""/>
    <s v="Field"/>
    <s v="06:  3rd &amp; 8+"/>
    <s v="0-20"/>
  </r>
  <r>
    <n v="92"/>
    <x v="1"/>
    <n v="1"/>
    <n v="10"/>
    <n v="-30"/>
    <n v="3"/>
    <s v="M"/>
    <m/>
    <m/>
    <x v="1"/>
    <s v="L"/>
    <s v="B"/>
    <n v="1"/>
    <m/>
    <m/>
    <n v="3"/>
    <n v="0.5"/>
    <s v="Left"/>
    <n v="2.5"/>
    <s v=""/>
    <s v=""/>
    <s v="01:  1st &amp; 10+"/>
    <s v="21-49"/>
  </r>
  <r>
    <n v="93"/>
    <x v="2"/>
    <n v="2"/>
    <n v="7"/>
    <n v="-33"/>
    <n v="0"/>
    <s v="L"/>
    <m/>
    <m/>
    <x v="1"/>
    <s v="R"/>
    <s v="B"/>
    <n v="1"/>
    <m/>
    <m/>
    <n v="0"/>
    <n v="2.5"/>
    <s v="Right"/>
    <n v="2.5"/>
    <s v=""/>
    <s v="Field"/>
    <s v="04:  2nd &amp; 4 - 7"/>
    <s v="21-49"/>
  </r>
  <r>
    <n v="106"/>
    <x v="1"/>
    <n v="1"/>
    <n v="10"/>
    <n v="-33"/>
    <n v="1"/>
    <s v="R"/>
    <m/>
    <m/>
    <x v="1"/>
    <s v="R"/>
    <s v="B"/>
    <n v="1"/>
    <m/>
    <m/>
    <n v="1"/>
    <n v="2.5"/>
    <s v="Right"/>
    <n v="2.5"/>
    <s v=""/>
    <s v="Boundry"/>
    <s v="01:  1st &amp; 10+"/>
    <s v="21-49"/>
  </r>
  <r>
    <n v="107"/>
    <x v="2"/>
    <n v="2"/>
    <n v="9"/>
    <n v="-34"/>
    <n v="-3"/>
    <s v="R"/>
    <m/>
    <m/>
    <x v="0"/>
    <s v="M"/>
    <m/>
    <n v="1"/>
    <n v="0"/>
    <s v="S"/>
    <n v="-3"/>
    <n v="1.5"/>
    <s v="Middle"/>
    <n v="0.5"/>
    <s v=""/>
    <s v=""/>
    <s v="03:  2nd &amp; 8+"/>
    <s v="21-49"/>
  </r>
  <r>
    <n v="108"/>
    <x v="3"/>
    <n v="3"/>
    <n v="12"/>
    <n v="-31"/>
    <n v="1"/>
    <s v="M"/>
    <m/>
    <m/>
    <x v="1"/>
    <s v="L"/>
    <s v="B"/>
    <n v="1"/>
    <m/>
    <m/>
    <n v="1"/>
    <n v="0.5"/>
    <s v="Left"/>
    <n v="2.5"/>
    <s v=""/>
    <s v=""/>
    <s v="06:  3rd &amp; 8+"/>
    <s v="21-49"/>
  </r>
  <r>
    <n v="117"/>
    <x v="1"/>
    <n v="1"/>
    <n v="10"/>
    <n v="-19"/>
    <n v="1"/>
    <s v="R"/>
    <m/>
    <m/>
    <x v="1"/>
    <s v="L"/>
    <s v="B"/>
    <n v="1"/>
    <m/>
    <m/>
    <n v="1"/>
    <n v="0.5"/>
    <s v="Left"/>
    <n v="2.5"/>
    <s v=""/>
    <s v="Field"/>
    <s v="01:  1st &amp; 10+"/>
    <s v="0-20"/>
  </r>
  <r>
    <n v="119"/>
    <x v="2"/>
    <n v="2"/>
    <n v="9"/>
    <n v="-20"/>
    <n v="10"/>
    <s v="M"/>
    <m/>
    <m/>
    <x v="1"/>
    <s v="L"/>
    <s v="B"/>
    <n v="1"/>
    <m/>
    <m/>
    <n v="10"/>
    <n v="0.5"/>
    <s v="Left"/>
    <n v="2.5"/>
    <s v=""/>
    <s v=""/>
    <s v="03:  2nd &amp; 8+"/>
    <s v="0-20"/>
  </r>
  <r>
    <n v="120"/>
    <x v="1"/>
    <n v="1"/>
    <n v="10"/>
    <n v="-30"/>
    <n v="1"/>
    <s v="L"/>
    <m/>
    <m/>
    <x v="1"/>
    <s v="L"/>
    <s v="B"/>
    <n v="1"/>
    <m/>
    <m/>
    <n v="1"/>
    <n v="0.5"/>
    <s v="Left"/>
    <n v="2.5"/>
    <s v=""/>
    <s v="Boundry"/>
    <s v="01:  1st &amp; 10+"/>
    <s v="21-49"/>
  </r>
  <r>
    <n v="121"/>
    <x v="2"/>
    <n v="2"/>
    <n v="9"/>
    <n v="-31"/>
    <n v="2"/>
    <s v="L"/>
    <m/>
    <m/>
    <x v="1"/>
    <s v="L"/>
    <s v="B"/>
    <n v="1"/>
    <m/>
    <m/>
    <n v="2"/>
    <n v="0.5"/>
    <s v="Left"/>
    <n v="2.5"/>
    <s v=""/>
    <s v="Boundry"/>
    <s v="03:  2nd &amp; 8+"/>
    <s v="21-49"/>
  </r>
  <r>
    <n v="122"/>
    <x v="3"/>
    <n v="3"/>
    <n v="7"/>
    <n v="-33"/>
    <n v="4"/>
    <s v="L"/>
    <m/>
    <m/>
    <x v="1"/>
    <s v="R"/>
    <s v="B"/>
    <n v="1"/>
    <m/>
    <m/>
    <n v="4"/>
    <n v="2.5"/>
    <s v="Right"/>
    <n v="2.5"/>
    <s v=""/>
    <s v="Field"/>
    <s v="07:  3rd &amp; 4 - 7"/>
    <s v="21-49"/>
  </r>
  <r>
    <n v="137"/>
    <x v="1"/>
    <n v="1"/>
    <n v="10"/>
    <n v="-34"/>
    <n v="4"/>
    <s v="L"/>
    <m/>
    <m/>
    <x v="1"/>
    <s v="R"/>
    <s v="B"/>
    <n v="1"/>
    <m/>
    <m/>
    <n v="4"/>
    <n v="2.5"/>
    <s v="Right"/>
    <n v="2.5"/>
    <s v=""/>
    <s v="Field"/>
    <s v="01:  1st &amp; 10+"/>
    <s v="21-49"/>
  </r>
  <r>
    <n v="140"/>
    <x v="2"/>
    <n v="2"/>
    <n v="6"/>
    <n v="-38"/>
    <n v="5"/>
    <s v="M"/>
    <m/>
    <m/>
    <x v="1"/>
    <s v="R"/>
    <s v="B"/>
    <n v="1"/>
    <m/>
    <m/>
    <n v="5"/>
    <n v="2.5"/>
    <s v="Right"/>
    <n v="2.5"/>
    <s v=""/>
    <s v=""/>
    <s v="04:  2nd &amp; 4 - 7"/>
    <s v="21-49"/>
  </r>
  <r>
    <n v="141"/>
    <x v="3"/>
    <n v="3"/>
    <n v="1"/>
    <n v="-43"/>
    <n v="0"/>
    <s v="L"/>
    <m/>
    <m/>
    <x v="1"/>
    <s v="R"/>
    <s v="B"/>
    <n v="1"/>
    <m/>
    <m/>
    <n v="0"/>
    <n v="2.5"/>
    <s v="Right"/>
    <n v="2.5"/>
    <s v=""/>
    <s v="Field"/>
    <s v="08:  3rd &amp; &lt; 4"/>
    <s v="21-49"/>
  </r>
  <r>
    <n v="150"/>
    <x v="1"/>
    <n v="1"/>
    <n v="10"/>
    <n v="-32"/>
    <n v="6"/>
    <s v="L"/>
    <m/>
    <m/>
    <x v="1"/>
    <s v="L"/>
    <s v="B"/>
    <n v="1"/>
    <m/>
    <m/>
    <n v="6"/>
    <n v="0.5"/>
    <s v="Left"/>
    <n v="2.5"/>
    <s v=""/>
    <s v="Boundry"/>
    <s v="01:  1st &amp; 10+"/>
    <s v="21-49"/>
  </r>
  <r>
    <n v="151"/>
    <x v="2"/>
    <n v="2"/>
    <n v="4"/>
    <n v="-38"/>
    <n v="1"/>
    <s v="L"/>
    <m/>
    <m/>
    <x v="1"/>
    <s v="L"/>
    <s v="B"/>
    <n v="1"/>
    <m/>
    <m/>
    <n v="1"/>
    <n v="0.5"/>
    <s v="Left"/>
    <n v="2.5"/>
    <s v=""/>
    <s v="Boundry"/>
    <s v="04:  2nd &amp; 4 - 7"/>
    <s v="21-49"/>
  </r>
  <r>
    <n v="152"/>
    <x v="3"/>
    <n v="3"/>
    <n v="3"/>
    <n v="-39"/>
    <n v="7"/>
    <s v="L"/>
    <m/>
    <m/>
    <x v="1"/>
    <s v="R"/>
    <s v="B"/>
    <n v="1"/>
    <m/>
    <m/>
    <n v="7"/>
    <n v="2.5"/>
    <s v="Right"/>
    <n v="2.5"/>
    <s v=""/>
    <s v="Field"/>
    <s v="08:  3rd &amp; &lt; 4"/>
    <s v="21-49"/>
  </r>
  <r>
    <n v="153"/>
    <x v="1"/>
    <n v="1"/>
    <n v="10"/>
    <n v="-46"/>
    <n v="3"/>
    <s v="M"/>
    <m/>
    <m/>
    <x v="1"/>
    <s v="R"/>
    <s v="B"/>
    <n v="1"/>
    <m/>
    <m/>
    <n v="3"/>
    <n v="2.5"/>
    <s v="Right"/>
    <n v="2.5"/>
    <s v=""/>
    <s v=""/>
    <s v="01:  1st &amp; 10+"/>
    <s v="21-49"/>
  </r>
  <r>
    <n v="154"/>
    <x v="2"/>
    <n v="2"/>
    <n v="7"/>
    <n v="-49"/>
    <n v="5"/>
    <s v="M"/>
    <m/>
    <m/>
    <x v="1"/>
    <s v="L"/>
    <s v="B"/>
    <n v="1"/>
    <m/>
    <m/>
    <n v="5"/>
    <n v="0.5"/>
    <s v="Left"/>
    <n v="2.5"/>
    <s v=""/>
    <s v=""/>
    <s v="04:  2nd &amp; 4 - 7"/>
    <s v="21-49"/>
  </r>
  <r>
    <n v="155"/>
    <x v="3"/>
    <n v="3"/>
    <n v="2"/>
    <n v="46"/>
    <n v="0"/>
    <s v="L"/>
    <m/>
    <m/>
    <x v="1"/>
    <s v="L"/>
    <s v="B"/>
    <n v="1"/>
    <m/>
    <m/>
    <n v="0"/>
    <n v="0.5"/>
    <s v="Left"/>
    <n v="2.5"/>
    <s v=""/>
    <s v="Boundry"/>
    <s v="08:  3rd &amp; &lt; 4"/>
    <s v="50-21"/>
  </r>
  <r>
    <n v="2"/>
    <x v="1"/>
    <n v="1"/>
    <n v="10"/>
    <n v="-35"/>
    <n v="14"/>
    <s v="R"/>
    <m/>
    <m/>
    <x v="1"/>
    <s v="L"/>
    <s v="B"/>
    <n v="1"/>
    <m/>
    <m/>
    <n v="14"/>
    <n v="0.5"/>
    <s v="Left"/>
    <n v="2.5"/>
    <s v=""/>
    <s v="Field"/>
    <s v="01:  1st &amp; 10+"/>
    <s v="21-49"/>
  </r>
  <r>
    <n v="3"/>
    <x v="1"/>
    <n v="1"/>
    <n v="10"/>
    <n v="-49"/>
    <n v="4"/>
    <s v="L"/>
    <m/>
    <m/>
    <x v="1"/>
    <s v="L"/>
    <s v="B"/>
    <n v="1"/>
    <m/>
    <m/>
    <n v="4"/>
    <n v="0.5"/>
    <s v="Left"/>
    <n v="2.5"/>
    <s v=""/>
    <s v="Boundry"/>
    <s v="01:  1st &amp; 10+"/>
    <s v="21-49"/>
  </r>
  <r>
    <n v="4"/>
    <x v="2"/>
    <n v="2"/>
    <n v="6"/>
    <n v="47"/>
    <n v="3"/>
    <s v="L"/>
    <m/>
    <m/>
    <x v="1"/>
    <s v="R"/>
    <s v="B"/>
    <n v="1"/>
    <m/>
    <m/>
    <n v="3"/>
    <n v="2.5"/>
    <s v="Right"/>
    <n v="2.5"/>
    <s v=""/>
    <s v="Field"/>
    <s v="04:  2nd &amp; 4 - 7"/>
    <s v="50-21"/>
  </r>
  <r>
    <n v="5"/>
    <x v="3"/>
    <n v="3"/>
    <n v="3"/>
    <n v="44"/>
    <n v="5"/>
    <s v="R"/>
    <m/>
    <m/>
    <x v="1"/>
    <s v="R"/>
    <s v="B"/>
    <n v="1"/>
    <m/>
    <m/>
    <n v="5"/>
    <n v="2.5"/>
    <s v="Right"/>
    <n v="2.5"/>
    <s v=""/>
    <s v="Boundry"/>
    <s v="08:  3rd &amp; &lt; 4"/>
    <s v="50-21"/>
  </r>
  <r>
    <n v="7"/>
    <x v="1"/>
    <n v="1"/>
    <n v="15"/>
    <n v="44"/>
    <n v="23"/>
    <s v="R"/>
    <m/>
    <m/>
    <x v="0"/>
    <s v="L"/>
    <m/>
    <n v="1"/>
    <n v="1"/>
    <s v="D"/>
    <n v="23"/>
    <n v="0.5"/>
    <s v="Left"/>
    <n v="2.5"/>
    <s v=""/>
    <s v="Field"/>
    <s v="01:  1st &amp; 10+"/>
    <s v="50-21"/>
  </r>
  <r>
    <n v="8"/>
    <x v="1"/>
    <n v="1"/>
    <n v="10"/>
    <n v="21"/>
    <n v="0"/>
    <s v="L"/>
    <m/>
    <m/>
    <x v="0"/>
    <s v="R"/>
    <m/>
    <n v="1"/>
    <n v="0"/>
    <m/>
    <n v="0"/>
    <n v="2.5"/>
    <s v="Right"/>
    <n v="2.5"/>
    <s v=""/>
    <s v="Field"/>
    <s v="01:  1st &amp; 10+"/>
    <s v="50-21"/>
  </r>
  <r>
    <n v="9"/>
    <x v="2"/>
    <n v="2"/>
    <n v="10"/>
    <n v="21"/>
    <n v="1"/>
    <s v="L"/>
    <m/>
    <m/>
    <x v="1"/>
    <s v="R"/>
    <s v="B"/>
    <n v="1"/>
    <m/>
    <m/>
    <n v="1"/>
    <n v="2.5"/>
    <s v="Right"/>
    <n v="2.5"/>
    <s v=""/>
    <s v="Field"/>
    <s v="03:  2nd &amp; 8+"/>
    <s v="50-21"/>
  </r>
  <r>
    <n v="11"/>
    <x v="4"/>
    <n v="4"/>
    <n v="4"/>
    <n v="15"/>
    <n v="4"/>
    <s v="L"/>
    <m/>
    <m/>
    <x v="1"/>
    <s v="L"/>
    <s v="B"/>
    <n v="1"/>
    <m/>
    <m/>
    <n v="4"/>
    <n v="0.5"/>
    <s v="Left"/>
    <n v="2.5"/>
    <s v=""/>
    <s v="Boundry"/>
    <s v="09:  4th &amp; 2+"/>
    <s v="Red Zone"/>
  </r>
  <r>
    <n v="12"/>
    <x v="1"/>
    <n v="1"/>
    <n v="10"/>
    <n v="11"/>
    <n v="1"/>
    <s v="L"/>
    <m/>
    <m/>
    <x v="1"/>
    <s v="L"/>
    <s v="B"/>
    <n v="1"/>
    <m/>
    <m/>
    <n v="1"/>
    <n v="0.5"/>
    <s v="Left"/>
    <n v="2.5"/>
    <s v=""/>
    <s v="Boundry"/>
    <s v="01:  1st &amp; 10+"/>
    <s v="Red Zone"/>
  </r>
  <r>
    <n v="13"/>
    <x v="2"/>
    <n v="2"/>
    <n v="9"/>
    <n v="10"/>
    <n v="0"/>
    <s v="L"/>
    <m/>
    <m/>
    <x v="0"/>
    <s v="R"/>
    <m/>
    <n v="1"/>
    <n v="0"/>
    <m/>
    <n v="0"/>
    <n v="2.5"/>
    <s v="Right"/>
    <n v="2.5"/>
    <s v=""/>
    <s v="Field"/>
    <s v="03:  2nd &amp; 8+"/>
    <s v="Red Zone"/>
  </r>
  <r>
    <n v="14"/>
    <x v="3"/>
    <n v="3"/>
    <n v="9"/>
    <n v="10"/>
    <n v="2"/>
    <s v="L"/>
    <m/>
    <m/>
    <x v="1"/>
    <s v="R"/>
    <s v="B"/>
    <n v="1"/>
    <m/>
    <m/>
    <n v="2"/>
    <n v="2.5"/>
    <s v="Right"/>
    <n v="2.5"/>
    <s v=""/>
    <s v="Field"/>
    <s v="06:  3rd &amp; 8+"/>
    <s v="Red Zone"/>
  </r>
  <r>
    <n v="22"/>
    <x v="1"/>
    <n v="1"/>
    <n v="10"/>
    <n v="-45"/>
    <n v="8"/>
    <s v="L"/>
    <m/>
    <m/>
    <x v="0"/>
    <s v="R"/>
    <m/>
    <n v="1"/>
    <n v="1"/>
    <s v="M"/>
    <n v="8"/>
    <n v="2.5"/>
    <s v="Right"/>
    <n v="1.5"/>
    <s v=""/>
    <s v="Field"/>
    <s v="01:  1st &amp; 10+"/>
    <s v="21-49"/>
  </r>
  <r>
    <n v="23"/>
    <x v="2"/>
    <n v="2"/>
    <n v="2"/>
    <n v="47"/>
    <n v="4"/>
    <s v="R"/>
    <m/>
    <m/>
    <x v="1"/>
    <s v="R"/>
    <s v="B"/>
    <n v="1"/>
    <m/>
    <m/>
    <n v="4"/>
    <n v="2.5"/>
    <s v="Right"/>
    <n v="2.5"/>
    <s v=""/>
    <s v="Boundry"/>
    <s v="05:  2nd &amp; &lt; 4"/>
    <s v="50-21"/>
  </r>
  <r>
    <n v="24"/>
    <x v="1"/>
    <n v="1"/>
    <n v="10"/>
    <n v="43"/>
    <n v="3"/>
    <s v="R"/>
    <m/>
    <m/>
    <x v="1"/>
    <s v="R"/>
    <s v="B"/>
    <n v="1"/>
    <m/>
    <m/>
    <n v="3"/>
    <n v="2.5"/>
    <s v="Right"/>
    <n v="2.5"/>
    <s v=""/>
    <s v="Boundry"/>
    <s v="01:  1st &amp; 10+"/>
    <s v="50-21"/>
  </r>
  <r>
    <n v="25"/>
    <x v="2"/>
    <n v="2"/>
    <n v="7"/>
    <n v="40"/>
    <n v="1"/>
    <s v="R"/>
    <m/>
    <m/>
    <x v="1"/>
    <s v="L"/>
    <s v="B"/>
    <n v="1"/>
    <m/>
    <m/>
    <n v="1"/>
    <n v="0.5"/>
    <s v="Left"/>
    <n v="2.5"/>
    <s v=""/>
    <s v="Field"/>
    <s v="04:  2nd &amp; 4 - 7"/>
    <s v="50-21"/>
  </r>
  <r>
    <n v="26"/>
    <x v="3"/>
    <n v="3"/>
    <n v="6"/>
    <n v="39"/>
    <n v="0"/>
    <s v="M"/>
    <m/>
    <m/>
    <x v="0"/>
    <s v="R"/>
    <m/>
    <n v="1"/>
    <n v="0"/>
    <m/>
    <n v="0"/>
    <n v="2.5"/>
    <s v="Right"/>
    <n v="2.5"/>
    <s v=""/>
    <s v=""/>
    <s v="07:  3rd &amp; 4 - 7"/>
    <s v="50-21"/>
  </r>
  <r>
    <n v="35"/>
    <x v="1"/>
    <n v="1"/>
    <n v="10"/>
    <n v="-40"/>
    <n v="2"/>
    <s v="L"/>
    <m/>
    <m/>
    <x v="1"/>
    <s v="R"/>
    <s v="B"/>
    <n v="1"/>
    <m/>
    <m/>
    <n v="2"/>
    <n v="2.5"/>
    <s v="Right"/>
    <n v="2.5"/>
    <s v=""/>
    <s v="Field"/>
    <s v="01:  1st &amp; 10+"/>
    <s v="21-49"/>
  </r>
  <r>
    <n v="36"/>
    <x v="2"/>
    <n v="2"/>
    <n v="8"/>
    <n v="-42"/>
    <n v="2"/>
    <s v="R"/>
    <m/>
    <m/>
    <x v="1"/>
    <s v="L"/>
    <s v="B"/>
    <n v="1"/>
    <m/>
    <m/>
    <n v="2"/>
    <n v="0.5"/>
    <s v="Left"/>
    <n v="2.5"/>
    <s v=""/>
    <s v="Field"/>
    <s v="03:  2nd &amp; 8+"/>
    <s v="21-49"/>
  </r>
  <r>
    <n v="37"/>
    <x v="3"/>
    <n v="3"/>
    <n v="6"/>
    <n v="-44"/>
    <n v="-7"/>
    <s v="R"/>
    <m/>
    <m/>
    <x v="0"/>
    <s v="M"/>
    <m/>
    <n v="1"/>
    <n v="0"/>
    <s v="S"/>
    <n v="-7"/>
    <n v="1.5"/>
    <s v="Middle"/>
    <n v="0.5"/>
    <s v=""/>
    <s v=""/>
    <s v="07:  3rd &amp; 4 - 7"/>
    <s v="21-49"/>
  </r>
  <r>
    <n v="46"/>
    <x v="1"/>
    <n v="1"/>
    <n v="10"/>
    <n v="-32"/>
    <n v="0"/>
    <s v="L"/>
    <m/>
    <m/>
    <x v="0"/>
    <s v="R"/>
    <m/>
    <n v="1"/>
    <n v="0"/>
    <m/>
    <n v="0"/>
    <n v="2.5"/>
    <s v="Right"/>
    <n v="2.5"/>
    <s v=""/>
    <s v="Field"/>
    <s v="01:  1st &amp; 10+"/>
    <s v="21-49"/>
  </r>
  <r>
    <n v="47"/>
    <x v="2"/>
    <n v="2"/>
    <n v="10"/>
    <n v="-32"/>
    <n v="16"/>
    <s v="L"/>
    <m/>
    <m/>
    <x v="1"/>
    <s v="R"/>
    <s v="B"/>
    <n v="1"/>
    <m/>
    <m/>
    <n v="16"/>
    <n v="2.5"/>
    <s v="Right"/>
    <n v="2.5"/>
    <s v=""/>
    <s v="Field"/>
    <s v="03:  2nd &amp; 8+"/>
    <s v="21-49"/>
  </r>
  <r>
    <n v="48"/>
    <x v="1"/>
    <n v="1"/>
    <n v="10"/>
    <n v="-48"/>
    <n v="8"/>
    <s v="L"/>
    <m/>
    <m/>
    <x v="1"/>
    <s v="L"/>
    <s v="B"/>
    <n v="1"/>
    <m/>
    <m/>
    <n v="8"/>
    <n v="0.5"/>
    <s v="Left"/>
    <n v="2.5"/>
    <s v=""/>
    <s v="Boundry"/>
    <s v="01:  1st &amp; 10+"/>
    <s v="21-49"/>
  </r>
  <r>
    <n v="49"/>
    <x v="2"/>
    <n v="2"/>
    <n v="2"/>
    <n v="44"/>
    <n v="14"/>
    <s v="L"/>
    <m/>
    <m/>
    <x v="1"/>
    <s v="L"/>
    <s v="B"/>
    <n v="1"/>
    <m/>
    <m/>
    <n v="14"/>
    <n v="0.5"/>
    <s v="Left"/>
    <n v="2.5"/>
    <s v=""/>
    <s v="Boundry"/>
    <s v="05:  2nd &amp; &lt; 4"/>
    <s v="50-21"/>
  </r>
  <r>
    <n v="50"/>
    <x v="1"/>
    <n v="1"/>
    <n v="10"/>
    <n v="30"/>
    <n v="3"/>
    <s v="L"/>
    <m/>
    <m/>
    <x v="1"/>
    <s v="L"/>
    <s v="B"/>
    <n v="1"/>
    <m/>
    <m/>
    <n v="3"/>
    <n v="0.5"/>
    <s v="Left"/>
    <n v="2.5"/>
    <s v=""/>
    <s v="Boundry"/>
    <s v="01:  1st &amp; 10+"/>
    <s v="50-21"/>
  </r>
  <r>
    <n v="51"/>
    <x v="2"/>
    <n v="2"/>
    <n v="7"/>
    <n v="27"/>
    <n v="17"/>
    <s v="L"/>
    <m/>
    <m/>
    <x v="1"/>
    <s v="R"/>
    <s v="B"/>
    <n v="1"/>
    <m/>
    <m/>
    <n v="17"/>
    <n v="2.5"/>
    <s v="Right"/>
    <n v="2.5"/>
    <s v=""/>
    <s v="Field"/>
    <s v="04:  2nd &amp; 4 - 7"/>
    <s v="50-21"/>
  </r>
  <r>
    <n v="52"/>
    <x v="1"/>
    <n v="1"/>
    <n v="10"/>
    <n v="10"/>
    <n v="-3"/>
    <s v="R"/>
    <m/>
    <m/>
    <x v="1"/>
    <s v="L"/>
    <s v="B"/>
    <n v="1"/>
    <m/>
    <m/>
    <n v="-3"/>
    <n v="0.5"/>
    <s v="Left"/>
    <n v="2.5"/>
    <s v=""/>
    <s v="Field"/>
    <s v="01:  1st &amp; 10+"/>
    <s v="Red Zone"/>
  </r>
  <r>
    <n v="53"/>
    <x v="2"/>
    <n v="2"/>
    <n v="13"/>
    <n v="13"/>
    <n v="0"/>
    <s v="L"/>
    <m/>
    <m/>
    <x v="0"/>
    <s v="R"/>
    <m/>
    <n v="1"/>
    <n v="0"/>
    <m/>
    <n v="0"/>
    <n v="2.5"/>
    <s v="Right"/>
    <n v="2.5"/>
    <s v=""/>
    <s v="Field"/>
    <s v="03:  2nd &amp; 8+"/>
    <s v="Red Zone"/>
  </r>
  <r>
    <n v="54"/>
    <x v="3"/>
    <n v="3"/>
    <n v="13"/>
    <n v="13"/>
    <n v="1"/>
    <s v="L"/>
    <m/>
    <m/>
    <x v="1"/>
    <s v="R"/>
    <s v="B"/>
    <n v="1"/>
    <m/>
    <m/>
    <n v="1"/>
    <n v="2.5"/>
    <s v="Right"/>
    <n v="2.5"/>
    <s v=""/>
    <s v="Field"/>
    <s v="06:  3rd &amp; 8+"/>
    <s v="Red Zone"/>
  </r>
  <r>
    <n v="68"/>
    <x v="2"/>
    <n v="2"/>
    <n v="15"/>
    <n v="-24"/>
    <n v="0"/>
    <s v="M"/>
    <m/>
    <m/>
    <x v="0"/>
    <s v="L"/>
    <m/>
    <n v="1"/>
    <n v="0"/>
    <m/>
    <n v="0"/>
    <n v="0.5"/>
    <s v="Left"/>
    <n v="2.5"/>
    <s v=""/>
    <s v=""/>
    <s v="03:  2nd &amp; 8+"/>
    <s v="21-49"/>
  </r>
  <r>
    <n v="69"/>
    <x v="3"/>
    <n v="3"/>
    <n v="16"/>
    <n v="-23"/>
    <n v="2"/>
    <s v="M"/>
    <m/>
    <m/>
    <x v="1"/>
    <s v="R"/>
    <s v="B"/>
    <n v="1"/>
    <m/>
    <m/>
    <n v="2"/>
    <n v="2.5"/>
    <s v="Right"/>
    <n v="2.5"/>
    <s v=""/>
    <s v=""/>
    <s v="06:  3rd &amp; 8+"/>
    <s v="21-49"/>
  </r>
  <r>
    <n v="70"/>
    <x v="4"/>
    <n v="4"/>
    <n v="14"/>
    <n v="-25"/>
    <n v="0"/>
    <s v="M"/>
    <m/>
    <m/>
    <x v="0"/>
    <s v="L"/>
    <m/>
    <n v="1"/>
    <n v="0"/>
    <m/>
    <n v="0"/>
    <n v="0.5"/>
    <s v="Left"/>
    <n v="2.5"/>
    <s v=""/>
    <s v=""/>
    <s v="09:  4th &amp; 2+"/>
    <s v="21-49"/>
  </r>
  <r>
    <n v="76"/>
    <x v="1"/>
    <n v="1"/>
    <n v="10"/>
    <n v="-26"/>
    <n v="-5"/>
    <s v="R"/>
    <m/>
    <m/>
    <x v="0"/>
    <s v="M"/>
    <m/>
    <n v="1"/>
    <n v="0"/>
    <s v="S"/>
    <n v="-5"/>
    <n v="1.5"/>
    <s v="Middle"/>
    <n v="0.5"/>
    <s v=""/>
    <s v=""/>
    <s v="01:  1st &amp; 10+"/>
    <s v="21-49"/>
  </r>
  <r>
    <n v="77"/>
    <x v="2"/>
    <n v="2"/>
    <n v="15"/>
    <n v="-21"/>
    <n v="0"/>
    <s v="M"/>
    <m/>
    <m/>
    <x v="0"/>
    <s v="R"/>
    <m/>
    <n v="1"/>
    <n v="0"/>
    <m/>
    <n v="0"/>
    <n v="2.5"/>
    <s v="Right"/>
    <n v="2.5"/>
    <s v=""/>
    <s v=""/>
    <s v="03:  2nd &amp; 8+"/>
    <s v="21-49"/>
  </r>
  <r>
    <n v="81"/>
    <x v="1"/>
    <n v="1"/>
    <n v="10"/>
    <n v="-40"/>
    <n v="3"/>
    <s v="M"/>
    <m/>
    <m/>
    <x v="1"/>
    <s v="R"/>
    <s v="B"/>
    <n v="1"/>
    <m/>
    <m/>
    <n v="3"/>
    <n v="2.5"/>
    <s v="Right"/>
    <n v="2.5"/>
    <s v=""/>
    <s v=""/>
    <s v="01:  1st &amp; 10+"/>
    <s v="21-49"/>
  </r>
  <r>
    <n v="83"/>
    <x v="2"/>
    <n v="2"/>
    <n v="7"/>
    <n v="-43"/>
    <n v="0"/>
    <s v="R"/>
    <m/>
    <m/>
    <x v="0"/>
    <s v="L"/>
    <m/>
    <n v="1"/>
    <n v="0"/>
    <m/>
    <n v="0"/>
    <n v="0.5"/>
    <s v="Left"/>
    <n v="2.5"/>
    <s v=""/>
    <s v="Field"/>
    <s v="04:  2nd &amp; 4 - 7"/>
    <s v="21-49"/>
  </r>
  <r>
    <n v="84"/>
    <x v="3"/>
    <n v="3"/>
    <n v="13"/>
    <n v="-43"/>
    <n v="-10"/>
    <s v="R"/>
    <m/>
    <m/>
    <x v="0"/>
    <s v="M"/>
    <m/>
    <n v="1"/>
    <n v="0"/>
    <s v="S"/>
    <n v="-10"/>
    <n v="1.5"/>
    <s v="Middle"/>
    <n v="0.5"/>
    <s v=""/>
    <s v=""/>
    <s v="06:  3rd &amp; 8+"/>
    <s v="21-49"/>
  </r>
  <r>
    <n v="102"/>
    <x v="2"/>
    <n v="2"/>
    <n v="14"/>
    <n v="-28"/>
    <n v="2"/>
    <s v="M"/>
    <m/>
    <m/>
    <x v="1"/>
    <s v="L"/>
    <s v="B"/>
    <n v="1"/>
    <m/>
    <m/>
    <n v="2"/>
    <n v="0.5"/>
    <s v="Left"/>
    <n v="2.5"/>
    <s v=""/>
    <s v=""/>
    <s v="03:  2nd &amp; 8+"/>
    <s v="21-49"/>
  </r>
  <r>
    <n v="103"/>
    <x v="3"/>
    <n v="3"/>
    <n v="12"/>
    <n v="-30"/>
    <n v="2"/>
    <s v="M"/>
    <m/>
    <m/>
    <x v="1"/>
    <s v="R"/>
    <s v="B"/>
    <n v="1"/>
    <m/>
    <m/>
    <n v="2"/>
    <n v="2.5"/>
    <s v="Right"/>
    <n v="2.5"/>
    <s v=""/>
    <s v=""/>
    <s v="06:  3rd &amp; 8+"/>
    <s v="21-49"/>
  </r>
  <r>
    <n v="104"/>
    <x v="4"/>
    <n v="4"/>
    <n v="10"/>
    <n v="-32"/>
    <n v="68"/>
    <s v="M"/>
    <m/>
    <m/>
    <x v="1"/>
    <s v="R"/>
    <s v="C"/>
    <n v="1"/>
    <m/>
    <m/>
    <n v="68"/>
    <n v="2.5"/>
    <s v="Right"/>
    <n v="2.5"/>
    <s v=""/>
    <s v=""/>
    <s v="09:  4th &amp; 2+"/>
    <s v="21-49"/>
  </r>
  <r>
    <n v="114"/>
    <x v="1"/>
    <n v="1"/>
    <n v="10"/>
    <n v="50"/>
    <n v="7"/>
    <s v="R"/>
    <m/>
    <m/>
    <x v="1"/>
    <s v="R"/>
    <s v="B"/>
    <n v="1"/>
    <m/>
    <m/>
    <n v="7"/>
    <n v="2.5"/>
    <s v="Right"/>
    <n v="2.5"/>
    <s v=""/>
    <s v="Boundry"/>
    <s v="01:  1st &amp; 10+"/>
    <s v="50-21"/>
  </r>
  <r>
    <n v="115"/>
    <x v="2"/>
    <n v="2"/>
    <n v="3"/>
    <n v="43"/>
    <n v="2"/>
    <s v="R"/>
    <m/>
    <m/>
    <x v="1"/>
    <s v="R"/>
    <s v="B"/>
    <n v="1"/>
    <m/>
    <m/>
    <n v="2"/>
    <n v="2.5"/>
    <s v="Right"/>
    <n v="2.5"/>
    <s v=""/>
    <s v="Boundry"/>
    <s v="05:  2nd &amp; &lt; 4"/>
    <s v="50-21"/>
  </r>
  <r>
    <n v="117"/>
    <x v="3"/>
    <n v="3"/>
    <n v="6"/>
    <n v="46"/>
    <n v="-1"/>
    <s v="R"/>
    <m/>
    <m/>
    <x v="0"/>
    <s v="M"/>
    <m/>
    <n v="1"/>
    <n v="0"/>
    <s v="S"/>
    <n v="-1"/>
    <n v="1.5"/>
    <s v="Middle"/>
    <n v="0.5"/>
    <s v=""/>
    <s v=""/>
    <s v="07:  3rd &amp; 4 - 7"/>
    <s v="50-21"/>
  </r>
  <r>
    <n v="134"/>
    <x v="1"/>
    <n v="1"/>
    <n v="10"/>
    <n v="-20"/>
    <n v="7"/>
    <s v="R"/>
    <m/>
    <m/>
    <x v="1"/>
    <s v="L"/>
    <s v="B"/>
    <n v="1"/>
    <m/>
    <m/>
    <n v="7"/>
    <n v="0.5"/>
    <s v="Left"/>
    <n v="2.5"/>
    <s v=""/>
    <s v="Field"/>
    <s v="01:  1st &amp; 10+"/>
    <s v="0-20"/>
  </r>
  <r>
    <n v="135"/>
    <x v="2"/>
    <n v="2"/>
    <n v="3"/>
    <n v="-27"/>
    <n v="8"/>
    <s v="R"/>
    <m/>
    <m/>
    <x v="1"/>
    <s v="R"/>
    <s v="B"/>
    <n v="1"/>
    <m/>
    <m/>
    <n v="8"/>
    <n v="2.5"/>
    <s v="Right"/>
    <n v="2.5"/>
    <s v=""/>
    <s v="Boundry"/>
    <s v="05:  2nd &amp; &lt; 4"/>
    <s v="21-49"/>
  </r>
  <r>
    <n v="136"/>
    <x v="1"/>
    <n v="1"/>
    <n v="10"/>
    <n v="-35"/>
    <n v="30"/>
    <s v="R"/>
    <m/>
    <m/>
    <x v="1"/>
    <s v="R"/>
    <s v="B"/>
    <n v="1"/>
    <m/>
    <m/>
    <n v="30"/>
    <n v="2.5"/>
    <s v="Right"/>
    <n v="2.5"/>
    <s v=""/>
    <s v="Boundry"/>
    <s v="01:  1st &amp; 10+"/>
    <s v="21-49"/>
  </r>
  <r>
    <n v="137"/>
    <x v="1"/>
    <n v="1"/>
    <n v="10"/>
    <n v="35"/>
    <n v="-3"/>
    <s v="R"/>
    <m/>
    <m/>
    <x v="1"/>
    <s v="L"/>
    <s v="B"/>
    <n v="1"/>
    <m/>
    <m/>
    <n v="-3"/>
    <n v="0.5"/>
    <s v="Left"/>
    <n v="2.5"/>
    <s v=""/>
    <s v="Field"/>
    <s v="01:  1st &amp; 10+"/>
    <s v="50-21"/>
  </r>
  <r>
    <n v="138"/>
    <x v="2"/>
    <n v="2"/>
    <n v="13"/>
    <n v="38"/>
    <n v="4"/>
    <s v="R"/>
    <m/>
    <m/>
    <x v="1"/>
    <s v="R"/>
    <s v="B"/>
    <n v="1"/>
    <m/>
    <m/>
    <n v="4"/>
    <n v="2.5"/>
    <s v="Right"/>
    <n v="2.5"/>
    <s v=""/>
    <s v="Boundry"/>
    <s v="03:  2nd &amp; 8+"/>
    <s v="50-21"/>
  </r>
  <r>
    <n v="139"/>
    <x v="3"/>
    <n v="3"/>
    <n v="9"/>
    <n v="34"/>
    <n v="0"/>
    <s v="R"/>
    <m/>
    <m/>
    <x v="0"/>
    <s v="L"/>
    <m/>
    <n v="1"/>
    <n v="0"/>
    <m/>
    <n v="0"/>
    <n v="0.5"/>
    <s v="Left"/>
    <n v="2.5"/>
    <s v=""/>
    <s v="Field"/>
    <s v="06:  3rd &amp; 8+"/>
    <s v="50-21"/>
  </r>
  <r>
    <n v="140"/>
    <x v="4"/>
    <n v="4"/>
    <n v="9"/>
    <n v="34"/>
    <n v="0"/>
    <s v="R"/>
    <m/>
    <m/>
    <x v="0"/>
    <s v="R"/>
    <m/>
    <n v="1"/>
    <n v="0"/>
    <m/>
    <n v="0"/>
    <n v="2.5"/>
    <s v="Right"/>
    <n v="2.5"/>
    <s v=""/>
    <s v="Boundry"/>
    <s v="09:  4th &amp; 2+"/>
    <s v="50-21"/>
  </r>
  <r>
    <n v="155"/>
    <x v="1"/>
    <n v="1"/>
    <n v="15"/>
    <n v="-44"/>
    <n v="1"/>
    <s v="M"/>
    <m/>
    <m/>
    <x v="1"/>
    <s v="R"/>
    <s v="B"/>
    <n v="1"/>
    <m/>
    <m/>
    <n v="1"/>
    <n v="2.5"/>
    <s v="Right"/>
    <n v="2.5"/>
    <s v=""/>
    <s v=""/>
    <s v="01:  1st &amp; 10+"/>
    <s v="21-49"/>
  </r>
  <r>
    <n v="156"/>
    <x v="2"/>
    <n v="2"/>
    <n v="14"/>
    <n v="-45"/>
    <n v="20"/>
    <s v="R"/>
    <m/>
    <m/>
    <x v="1"/>
    <s v="L"/>
    <s v="C"/>
    <n v="1"/>
    <m/>
    <m/>
    <n v="20"/>
    <n v="0.5"/>
    <s v="Left"/>
    <n v="2.5"/>
    <s v=""/>
    <s v="Field"/>
    <s v="03:  2nd &amp; 8+"/>
    <s v="21-49"/>
  </r>
  <r>
    <n v="158"/>
    <x v="1"/>
    <n v="1"/>
    <n v="10"/>
    <n v="35"/>
    <n v="-9"/>
    <s v="L"/>
    <m/>
    <m/>
    <x v="1"/>
    <s v="R"/>
    <s v="B"/>
    <n v="1"/>
    <m/>
    <m/>
    <n v="-9"/>
    <n v="2.5"/>
    <s v="Right"/>
    <n v="2.5"/>
    <s v=""/>
    <s v="Field"/>
    <s v="01:  1st &amp; 10+"/>
    <s v="50-21"/>
  </r>
  <r>
    <n v="160"/>
    <x v="2"/>
    <n v="2"/>
    <n v="19"/>
    <n v="44"/>
    <n v="44"/>
    <s v="M"/>
    <m/>
    <m/>
    <x v="0"/>
    <s v="R"/>
    <m/>
    <n v="1"/>
    <n v="1"/>
    <s v="D"/>
    <n v="44"/>
    <n v="2.5"/>
    <s v="Right"/>
    <n v="2.5"/>
    <s v=""/>
    <s v=""/>
    <s v="03:  2nd &amp; 8+"/>
    <s v="50-21"/>
  </r>
  <r>
    <n v="3"/>
    <x v="1"/>
    <n v="1"/>
    <n v="15"/>
    <n v="-10"/>
    <n v="0"/>
    <s v="M"/>
    <m/>
    <m/>
    <x v="0"/>
    <s v="R"/>
    <m/>
    <n v="1"/>
    <n v="0"/>
    <m/>
    <n v="0"/>
    <n v="2.5"/>
    <s v="Right"/>
    <n v="2.5"/>
    <s v=""/>
    <s v=""/>
    <s v="01:  1st &amp; 10+"/>
    <s v="0-20"/>
  </r>
  <r>
    <n v="10"/>
    <x v="1"/>
    <n v="1"/>
    <n v="10"/>
    <n v="-5"/>
    <n v="1"/>
    <s v="M"/>
    <m/>
    <m/>
    <x v="1"/>
    <s v="R"/>
    <s v="B"/>
    <n v="1"/>
    <m/>
    <m/>
    <n v="1"/>
    <n v="2.5"/>
    <s v="Right"/>
    <n v="2.5"/>
    <s v=""/>
    <s v=""/>
    <s v="01:  1st &amp; 10+"/>
    <s v="0-20"/>
  </r>
  <r>
    <n v="11"/>
    <x v="2"/>
    <n v="2"/>
    <n v="9"/>
    <n v="-6"/>
    <n v="9"/>
    <s v="M"/>
    <m/>
    <m/>
    <x v="1"/>
    <s v="R"/>
    <s v="B"/>
    <n v="1"/>
    <m/>
    <m/>
    <n v="9"/>
    <n v="2.5"/>
    <s v="Right"/>
    <n v="2.5"/>
    <s v=""/>
    <s v=""/>
    <s v="03:  2nd &amp; 8+"/>
    <s v="0-20"/>
  </r>
  <r>
    <n v="12"/>
    <x v="1"/>
    <n v="1"/>
    <n v="10"/>
    <n v="-15"/>
    <n v="4"/>
    <s v="R"/>
    <m/>
    <m/>
    <x v="1"/>
    <s v="R"/>
    <s v="B"/>
    <n v="1"/>
    <m/>
    <m/>
    <n v="4"/>
    <n v="2.5"/>
    <s v="Right"/>
    <n v="2.5"/>
    <s v=""/>
    <s v="Boundry"/>
    <s v="01:  1st &amp; 10+"/>
    <s v="0-20"/>
  </r>
  <r>
    <n v="14"/>
    <x v="2"/>
    <n v="2"/>
    <n v="10"/>
    <n v="-44"/>
    <n v="1"/>
    <s v="R"/>
    <m/>
    <m/>
    <x v="1"/>
    <s v="R"/>
    <s v="B"/>
    <n v="1"/>
    <m/>
    <m/>
    <n v="1"/>
    <n v="2.5"/>
    <s v="Right"/>
    <n v="2.5"/>
    <s v=""/>
    <s v="Boundry"/>
    <s v="03:  2nd &amp; 8+"/>
    <s v="21-49"/>
  </r>
  <r>
    <n v="16"/>
    <x v="2"/>
    <n v="2"/>
    <n v="14"/>
    <n v="-40"/>
    <n v="6"/>
    <s v="R"/>
    <m/>
    <m/>
    <x v="1"/>
    <s v="R"/>
    <s v="B"/>
    <n v="1"/>
    <m/>
    <m/>
    <n v="6"/>
    <n v="2.5"/>
    <s v="Right"/>
    <n v="2.5"/>
    <m/>
    <s v="Boundry"/>
    <m/>
    <s v="21-49"/>
  </r>
  <r>
    <n v="18"/>
    <x v="1"/>
    <n v="1"/>
    <n v="10"/>
    <n v="44"/>
    <n v="-3"/>
    <s v="R"/>
    <m/>
    <m/>
    <x v="1"/>
    <s v="L"/>
    <s v="B"/>
    <n v="1"/>
    <m/>
    <m/>
    <n v="-3"/>
    <n v="0.5"/>
    <s v="Left"/>
    <n v="2.5"/>
    <m/>
    <s v="Field"/>
    <m/>
    <s v="50-21"/>
  </r>
  <r>
    <n v="19"/>
    <x v="2"/>
    <n v="2"/>
    <n v="13"/>
    <n v="47"/>
    <n v="-1"/>
    <s v="M"/>
    <m/>
    <m/>
    <x v="1"/>
    <s v="R"/>
    <s v="B"/>
    <n v="1"/>
    <m/>
    <m/>
    <n v="-1"/>
    <n v="2.5"/>
    <s v="Right"/>
    <n v="2.5"/>
    <m/>
    <s v=""/>
    <m/>
    <s v="50-21"/>
  </r>
  <r>
    <n v="20"/>
    <x v="3"/>
    <n v="3"/>
    <n v="14"/>
    <n v="48"/>
    <n v="0"/>
    <s v="M"/>
    <m/>
    <m/>
    <x v="0"/>
    <s v="R"/>
    <m/>
    <n v="1"/>
    <n v="0"/>
    <m/>
    <n v="0"/>
    <n v="2.5"/>
    <s v="Right"/>
    <n v="2.5"/>
    <m/>
    <s v=""/>
    <m/>
    <s v="50-21"/>
  </r>
  <r>
    <n v="38"/>
    <x v="1"/>
    <n v="1"/>
    <n v="10"/>
    <n v="-21"/>
    <n v="11"/>
    <s v="M"/>
    <m/>
    <m/>
    <x v="1"/>
    <s v="R"/>
    <s v="B"/>
    <n v="1"/>
    <m/>
    <m/>
    <n v="11"/>
    <n v="2.5"/>
    <s v="Right"/>
    <n v="2.5"/>
    <m/>
    <s v=""/>
    <m/>
    <s v="21-49"/>
  </r>
  <r>
    <n v="40"/>
    <x v="1"/>
    <n v="1"/>
    <n v="15"/>
    <n v="-27"/>
    <n v="5"/>
    <s v="R"/>
    <m/>
    <m/>
    <x v="1"/>
    <s v="L"/>
    <s v="B"/>
    <n v="1"/>
    <m/>
    <m/>
    <n v="5"/>
    <n v="0.5"/>
    <s v="Left"/>
    <n v="2.5"/>
    <m/>
    <s v="Field"/>
    <m/>
    <s v="21-49"/>
  </r>
  <r>
    <n v="41"/>
    <x v="2"/>
    <n v="2"/>
    <n v="10"/>
    <n v="-32"/>
    <n v="3"/>
    <s v="M"/>
    <m/>
    <m/>
    <x v="1"/>
    <s v="L"/>
    <s v="B"/>
    <n v="1"/>
    <m/>
    <m/>
    <n v="3"/>
    <n v="0.5"/>
    <s v="Left"/>
    <n v="2.5"/>
    <m/>
    <s v=""/>
    <m/>
    <s v="21-49"/>
  </r>
  <r>
    <n v="43"/>
    <x v="2"/>
    <n v="2"/>
    <n v="7"/>
    <n v="-35"/>
    <n v="65"/>
    <s v="M"/>
    <m/>
    <m/>
    <x v="1"/>
    <s v="L"/>
    <s v="B"/>
    <n v="1"/>
    <m/>
    <m/>
    <n v="65"/>
    <n v="0.5"/>
    <s v="Left"/>
    <n v="2.5"/>
    <m/>
    <s v=""/>
    <m/>
    <s v="21-49"/>
  </r>
  <r>
    <n v="59"/>
    <x v="1"/>
    <n v="1"/>
    <n v="21"/>
    <n v="-31"/>
    <n v="8"/>
    <s v="L"/>
    <m/>
    <m/>
    <x v="0"/>
    <s v="R"/>
    <m/>
    <n v="1"/>
    <n v="1"/>
    <s v="M"/>
    <n v="8"/>
    <n v="2.5"/>
    <s v="Right"/>
    <n v="1.5"/>
    <m/>
    <s v="Field"/>
    <m/>
    <s v="21-49"/>
  </r>
  <r>
    <n v="60"/>
    <x v="2"/>
    <n v="2"/>
    <n v="13"/>
    <n v="-39"/>
    <n v="24"/>
    <s v="R"/>
    <m/>
    <m/>
    <x v="1"/>
    <s v="R"/>
    <s v="B"/>
    <n v="1"/>
    <m/>
    <m/>
    <n v="24"/>
    <n v="2.5"/>
    <s v="Right"/>
    <n v="2.5"/>
    <m/>
    <s v="Boundry"/>
    <m/>
    <s v="21-49"/>
  </r>
  <r>
    <n v="61"/>
    <x v="1"/>
    <n v="1"/>
    <n v="10"/>
    <n v="37"/>
    <n v="3"/>
    <s v="R"/>
    <m/>
    <m/>
    <x v="1"/>
    <s v="R"/>
    <s v="B"/>
    <n v="1"/>
    <m/>
    <m/>
    <n v="3"/>
    <n v="2.5"/>
    <s v="Right"/>
    <n v="2.5"/>
    <m/>
    <s v="Boundry"/>
    <m/>
    <s v="50-21"/>
  </r>
  <r>
    <n v="62"/>
    <x v="2"/>
    <n v="2"/>
    <n v="7"/>
    <n v="34"/>
    <n v="18"/>
    <s v="R"/>
    <m/>
    <m/>
    <x v="1"/>
    <s v="L"/>
    <s v="B"/>
    <n v="1"/>
    <m/>
    <m/>
    <n v="18"/>
    <n v="0.5"/>
    <s v="Left"/>
    <n v="2.5"/>
    <m/>
    <s v="Field"/>
    <m/>
    <s v="50-21"/>
  </r>
  <r>
    <n v="63"/>
    <x v="1"/>
    <n v="1"/>
    <n v="10"/>
    <n v="16"/>
    <n v="0"/>
    <s v="L"/>
    <m/>
    <m/>
    <x v="1"/>
    <s v="L"/>
    <s v="B"/>
    <n v="1"/>
    <m/>
    <m/>
    <n v="0"/>
    <n v="0.5"/>
    <s v="Left"/>
    <n v="2.5"/>
    <m/>
    <s v="Boundry"/>
    <m/>
    <s v="Red Zone"/>
  </r>
  <r>
    <n v="64"/>
    <x v="2"/>
    <n v="2"/>
    <n v="10"/>
    <n v="16"/>
    <n v="11"/>
    <s v="L"/>
    <m/>
    <m/>
    <x v="1"/>
    <s v="L"/>
    <s v="B"/>
    <n v="1"/>
    <m/>
    <m/>
    <n v="11"/>
    <n v="0.5"/>
    <s v="Left"/>
    <n v="2.5"/>
    <m/>
    <s v="Boundry"/>
    <m/>
    <s v="Red Zone"/>
  </r>
  <r>
    <n v="65"/>
    <x v="1"/>
    <n v="1"/>
    <n v="5"/>
    <n v="5"/>
    <n v="-1"/>
    <s v="L"/>
    <m/>
    <m/>
    <x v="1"/>
    <s v="R"/>
    <s v="B"/>
    <n v="1"/>
    <m/>
    <m/>
    <n v="-1"/>
    <n v="2.5"/>
    <s v="Right"/>
    <n v="2.5"/>
    <m/>
    <s v="Field"/>
    <m/>
    <s v="Red Zone"/>
  </r>
  <r>
    <n v="66"/>
    <x v="2"/>
    <n v="2"/>
    <n v="6"/>
    <n v="6"/>
    <n v="0"/>
    <s v="M"/>
    <m/>
    <m/>
    <x v="0"/>
    <s v="R"/>
    <m/>
    <n v="1"/>
    <n v="0"/>
    <m/>
    <n v="0"/>
    <n v="2.5"/>
    <s v="Right"/>
    <n v="2.5"/>
    <m/>
    <s v=""/>
    <m/>
    <s v="Red Zone"/>
  </r>
  <r>
    <n v="69"/>
    <x v="4"/>
    <n v="4"/>
    <n v="11"/>
    <n v="11"/>
    <n v="11"/>
    <s v="M"/>
    <m/>
    <m/>
    <x v="0"/>
    <s v="R"/>
    <m/>
    <n v="1"/>
    <n v="1"/>
    <s v="M"/>
    <n v="11"/>
    <n v="2.5"/>
    <s v="Right"/>
    <n v="1.5"/>
    <m/>
    <s v=""/>
    <m/>
    <s v="Red Zone"/>
  </r>
  <r>
    <n v="89"/>
    <x v="1"/>
    <n v="1"/>
    <n v="10"/>
    <n v="-25"/>
    <n v="-2"/>
    <s v="M"/>
    <m/>
    <m/>
    <x v="1"/>
    <s v="L"/>
    <s v="B"/>
    <n v="1"/>
    <m/>
    <m/>
    <n v="-2"/>
    <n v="0.5"/>
    <s v="Left"/>
    <n v="2.5"/>
    <m/>
    <s v=""/>
    <m/>
    <s v="21-49"/>
  </r>
  <r>
    <n v="91"/>
    <x v="2"/>
    <n v="2"/>
    <n v="12"/>
    <n v="-23"/>
    <n v="2"/>
    <s v="L"/>
    <m/>
    <m/>
    <x v="1"/>
    <s v="R"/>
    <s v="B"/>
    <n v="1"/>
    <m/>
    <m/>
    <n v="2"/>
    <n v="2.5"/>
    <s v="Right"/>
    <n v="2.5"/>
    <m/>
    <s v="Field"/>
    <m/>
    <s v="21-49"/>
  </r>
  <r>
    <n v="92"/>
    <x v="3"/>
    <n v="3"/>
    <n v="10"/>
    <n v="-25"/>
    <n v="15"/>
    <s v="L"/>
    <m/>
    <m/>
    <x v="1"/>
    <s v="R"/>
    <s v="B"/>
    <n v="1"/>
    <m/>
    <m/>
    <n v="15"/>
    <n v="2.5"/>
    <s v="Right"/>
    <n v="2.5"/>
    <m/>
    <s v="Field"/>
    <m/>
    <s v="21-49"/>
  </r>
  <r>
    <n v="93"/>
    <x v="1"/>
    <n v="1"/>
    <n v="10"/>
    <n v="-40"/>
    <n v="3"/>
    <s v="R"/>
    <m/>
    <m/>
    <x v="1"/>
    <s v="R"/>
    <s v="B"/>
    <n v="1"/>
    <m/>
    <m/>
    <n v="3"/>
    <n v="2.5"/>
    <s v="Right"/>
    <n v="2.5"/>
    <m/>
    <s v="Boundry"/>
    <m/>
    <s v="21-49"/>
  </r>
  <r>
    <n v="94"/>
    <x v="2"/>
    <n v="2"/>
    <n v="7"/>
    <n v="-43"/>
    <n v="4"/>
    <s v="R"/>
    <m/>
    <m/>
    <x v="1"/>
    <s v="R"/>
    <s v="B"/>
    <n v="1"/>
    <m/>
    <m/>
    <n v="4"/>
    <n v="2.5"/>
    <s v="Right"/>
    <n v="2.5"/>
    <m/>
    <s v="Boundry"/>
    <m/>
    <s v="21-49"/>
  </r>
  <r>
    <n v="95"/>
    <x v="3"/>
    <n v="3"/>
    <n v="3"/>
    <n v="-47"/>
    <n v="5"/>
    <s v="R"/>
    <m/>
    <m/>
    <x v="1"/>
    <s v="L"/>
    <s v="B"/>
    <n v="1"/>
    <m/>
    <m/>
    <n v="5"/>
    <n v="0.5"/>
    <s v="Left"/>
    <n v="2.5"/>
    <m/>
    <s v="Field"/>
    <m/>
    <s v="21-49"/>
  </r>
  <r>
    <n v="97"/>
    <x v="1"/>
    <n v="1"/>
    <n v="12"/>
    <n v="50"/>
    <n v="3"/>
    <s v="L"/>
    <m/>
    <m/>
    <x v="1"/>
    <s v="R"/>
    <s v="B"/>
    <n v="1"/>
    <m/>
    <m/>
    <n v="3"/>
    <n v="2.5"/>
    <s v="Right"/>
    <n v="2.5"/>
    <m/>
    <s v="Field"/>
    <m/>
    <s v="50-21"/>
  </r>
  <r>
    <n v="98"/>
    <x v="2"/>
    <n v="2"/>
    <n v="9"/>
    <n v="47"/>
    <n v="8"/>
    <s v="L"/>
    <m/>
    <m/>
    <x v="1"/>
    <s v="L"/>
    <s v="B"/>
    <n v="1"/>
    <m/>
    <m/>
    <n v="8"/>
    <n v="0.5"/>
    <s v="Left"/>
    <n v="2.5"/>
    <m/>
    <s v="Boundry"/>
    <m/>
    <s v="50-21"/>
  </r>
  <r>
    <n v="99"/>
    <x v="3"/>
    <n v="3"/>
    <n v="1"/>
    <n v="39"/>
    <n v="-16"/>
    <s v="L"/>
    <m/>
    <m/>
    <x v="0"/>
    <s v="M"/>
    <m/>
    <n v="1"/>
    <n v="0"/>
    <s v="S"/>
    <n v="-16"/>
    <n v="1.5"/>
    <s v="Middle"/>
    <n v="0.5"/>
    <m/>
    <s v=""/>
    <m/>
    <s v="50-21"/>
  </r>
  <r>
    <n v="111"/>
    <x v="1"/>
    <n v="1"/>
    <n v="10"/>
    <n v="-32"/>
    <n v="-4"/>
    <s v="R"/>
    <m/>
    <m/>
    <x v="1"/>
    <s v="L"/>
    <s v="B"/>
    <n v="1"/>
    <m/>
    <m/>
    <n v="-4"/>
    <n v="0.5"/>
    <s v="Left"/>
    <n v="2.5"/>
    <m/>
    <s v="Field"/>
    <m/>
    <s v="21-49"/>
  </r>
  <r>
    <n v="112"/>
    <x v="2"/>
    <n v="2"/>
    <n v="14"/>
    <n v="-28"/>
    <n v="4"/>
    <s v="M"/>
    <m/>
    <m/>
    <x v="1"/>
    <s v="L"/>
    <s v="B"/>
    <n v="1"/>
    <m/>
    <m/>
    <n v="4"/>
    <n v="0.5"/>
    <s v="Left"/>
    <n v="2.5"/>
    <m/>
    <s v=""/>
    <m/>
    <s v="21-49"/>
  </r>
  <r>
    <n v="113"/>
    <x v="3"/>
    <n v="3"/>
    <n v="10"/>
    <n v="-32"/>
    <n v="-6"/>
    <s v="L"/>
    <m/>
    <m/>
    <x v="1"/>
    <s v="R"/>
    <s v="B"/>
    <n v="1"/>
    <m/>
    <m/>
    <n v="-6"/>
    <n v="2.5"/>
    <s v="Right"/>
    <n v="2.5"/>
    <m/>
    <s v="Field"/>
    <m/>
    <s v="21-49"/>
  </r>
  <r>
    <n v="123"/>
    <x v="1"/>
    <n v="1"/>
    <n v="10"/>
    <n v="-45"/>
    <n v="-1"/>
    <s v="M"/>
    <m/>
    <m/>
    <x v="1"/>
    <s v="L"/>
    <s v="B"/>
    <n v="1"/>
    <m/>
    <m/>
    <n v="-1"/>
    <n v="0.5"/>
    <s v="Left"/>
    <n v="2.5"/>
    <m/>
    <s v=""/>
    <m/>
    <s v="21-49"/>
  </r>
  <r>
    <n v="124"/>
    <x v="2"/>
    <n v="2"/>
    <n v="11"/>
    <n v="-44"/>
    <n v="3"/>
    <s v="L"/>
    <m/>
    <m/>
    <x v="1"/>
    <s v="R"/>
    <s v="B"/>
    <n v="1"/>
    <m/>
    <m/>
    <n v="3"/>
    <n v="2.5"/>
    <s v="Right"/>
    <n v="2.5"/>
    <m/>
    <s v="Field"/>
    <m/>
    <s v="21-49"/>
  </r>
  <r>
    <n v="125"/>
    <x v="3"/>
    <n v="3"/>
    <n v="8"/>
    <n v="-47"/>
    <n v="-6"/>
    <s v="L"/>
    <m/>
    <m/>
    <x v="1"/>
    <s v="L"/>
    <s v="B"/>
    <n v="1"/>
    <m/>
    <m/>
    <n v="-6"/>
    <n v="0.5"/>
    <s v="Left"/>
    <n v="2.5"/>
    <m/>
    <s v="Boundry"/>
    <m/>
    <s v="21-49"/>
  </r>
  <r>
    <n v="22"/>
    <x v="1"/>
    <n v="1"/>
    <n v="10"/>
    <n v="-24"/>
    <n v="9"/>
    <s v="R"/>
    <m/>
    <m/>
    <x v="1"/>
    <s v="R"/>
    <s v="B"/>
    <n v="1"/>
    <m/>
    <m/>
    <n v="9"/>
    <n v="2.5"/>
    <s v="Right"/>
    <n v="2.5"/>
    <m/>
    <s v="Boundry"/>
    <m/>
    <s v="21-49"/>
  </r>
  <r>
    <n v="23"/>
    <x v="2"/>
    <n v="2"/>
    <n v="1"/>
    <n v="-33"/>
    <n v="4"/>
    <s v="M"/>
    <m/>
    <m/>
    <x v="1"/>
    <s v="R"/>
    <s v="B"/>
    <n v="1"/>
    <m/>
    <m/>
    <n v="4"/>
    <n v="2.5"/>
    <s v="Right"/>
    <n v="2.5"/>
    <m/>
    <s v=""/>
    <m/>
    <s v="21-49"/>
  </r>
  <r>
    <n v="24"/>
    <x v="1"/>
    <n v="1"/>
    <n v="10"/>
    <n v="-37"/>
    <n v="28"/>
    <s v="R"/>
    <m/>
    <m/>
    <x v="0"/>
    <s v="L"/>
    <m/>
    <n v="1"/>
    <n v="1"/>
    <s v="D"/>
    <n v="28"/>
    <n v="0.5"/>
    <s v="Left"/>
    <n v="2.5"/>
    <m/>
    <s v="Field"/>
    <m/>
    <s v="21-49"/>
  </r>
  <r>
    <n v="25"/>
    <x v="1"/>
    <n v="1"/>
    <n v="10"/>
    <n v="35"/>
    <n v="0"/>
    <s v="L"/>
    <m/>
    <m/>
    <x v="1"/>
    <s v="R"/>
    <s v="B"/>
    <n v="1"/>
    <m/>
    <m/>
    <n v="0"/>
    <n v="2.5"/>
    <s v="Right"/>
    <n v="2.5"/>
    <m/>
    <s v="Field"/>
    <m/>
    <s v="50-21"/>
  </r>
  <r>
    <n v="26"/>
    <x v="2"/>
    <n v="2"/>
    <n v="10"/>
    <n v="35"/>
    <n v="8"/>
    <s v="R"/>
    <m/>
    <m/>
    <x v="0"/>
    <s v="L"/>
    <m/>
    <n v="1"/>
    <n v="1"/>
    <s v="M"/>
    <n v="8"/>
    <n v="0.5"/>
    <s v="Left"/>
    <n v="1.5"/>
    <m/>
    <s v="Field"/>
    <m/>
    <s v="50-21"/>
  </r>
  <r>
    <n v="27"/>
    <x v="3"/>
    <n v="3"/>
    <n v="2"/>
    <n v="27"/>
    <n v="7"/>
    <s v="L"/>
    <m/>
    <m/>
    <x v="0"/>
    <s v="R"/>
    <m/>
    <n v="1"/>
    <n v="1"/>
    <s v="S"/>
    <n v="7"/>
    <n v="2.5"/>
    <s v="Right"/>
    <n v="0.5"/>
    <m/>
    <s v="Field"/>
    <m/>
    <s v="50-21"/>
  </r>
  <r>
    <n v="28"/>
    <x v="1"/>
    <n v="1"/>
    <n v="10"/>
    <n v="20"/>
    <n v="4"/>
    <s v="R"/>
    <m/>
    <m/>
    <x v="1"/>
    <s v="L"/>
    <s v="B"/>
    <n v="1"/>
    <m/>
    <m/>
    <n v="4"/>
    <n v="0.5"/>
    <s v="Left"/>
    <n v="2.5"/>
    <m/>
    <s v="Field"/>
    <m/>
    <s v="Red Zone"/>
  </r>
  <r>
    <n v="29"/>
    <x v="2"/>
    <n v="2"/>
    <n v="6"/>
    <n v="16"/>
    <n v="9"/>
    <s v="R"/>
    <m/>
    <m/>
    <x v="1"/>
    <s v="R"/>
    <s v="B"/>
    <n v="1"/>
    <m/>
    <m/>
    <n v="9"/>
    <n v="2.5"/>
    <s v="Right"/>
    <n v="2.5"/>
    <m/>
    <s v="Boundry"/>
    <m/>
    <s v="Red Zone"/>
  </r>
  <r>
    <n v="30"/>
    <x v="1"/>
    <n v="1"/>
    <n v="7"/>
    <n v="7"/>
    <n v="6"/>
    <s v="R"/>
    <m/>
    <m/>
    <x v="1"/>
    <s v="L"/>
    <s v="B"/>
    <n v="1"/>
    <m/>
    <m/>
    <n v="6"/>
    <n v="0.5"/>
    <s v="Left"/>
    <n v="2.5"/>
    <m/>
    <s v="Field"/>
    <m/>
    <s v="Red Zone"/>
  </r>
  <r>
    <n v="31"/>
    <x v="2"/>
    <n v="2"/>
    <n v="1"/>
    <n v="1"/>
    <n v="1"/>
    <s v="L"/>
    <m/>
    <m/>
    <x v="1"/>
    <s v="L"/>
    <s v="B"/>
    <n v="1"/>
    <m/>
    <m/>
    <n v="1"/>
    <n v="0.5"/>
    <s v="Left"/>
    <n v="2.5"/>
    <m/>
    <s v="Boundry"/>
    <m/>
    <s v="Goal Line"/>
  </r>
  <r>
    <n v="43"/>
    <x v="1"/>
    <n v="1"/>
    <n v="10"/>
    <n v="-26"/>
    <n v="3"/>
    <s v="R"/>
    <m/>
    <m/>
    <x v="1"/>
    <s v="L"/>
    <s v="B"/>
    <n v="1"/>
    <m/>
    <m/>
    <n v="3"/>
    <n v="0.5"/>
    <s v="Left"/>
    <n v="2.5"/>
    <m/>
    <s v="Field"/>
    <m/>
    <s v="21-49"/>
  </r>
  <r>
    <n v="44"/>
    <x v="2"/>
    <n v="2"/>
    <n v="7"/>
    <n v="-29"/>
    <n v="11"/>
    <s v="L"/>
    <m/>
    <m/>
    <x v="1"/>
    <s v="R"/>
    <s v="B"/>
    <n v="1"/>
    <m/>
    <m/>
    <n v="11"/>
    <n v="2.5"/>
    <s v="Right"/>
    <n v="2.5"/>
    <m/>
    <s v="Field"/>
    <m/>
    <s v="21-49"/>
  </r>
  <r>
    <n v="45"/>
    <x v="1"/>
    <n v="1"/>
    <n v="10"/>
    <n v="-40"/>
    <n v="26"/>
    <s v="L"/>
    <m/>
    <m/>
    <x v="1"/>
    <s v="R"/>
    <s v="B"/>
    <n v="1"/>
    <m/>
    <m/>
    <n v="26"/>
    <n v="2.5"/>
    <s v="Right"/>
    <n v="2.5"/>
    <m/>
    <s v="Field"/>
    <m/>
    <s v="21-49"/>
  </r>
  <r>
    <n v="47"/>
    <x v="1"/>
    <n v="1"/>
    <n v="10"/>
    <n v="34"/>
    <n v="-6"/>
    <s v="L"/>
    <m/>
    <m/>
    <x v="1"/>
    <s v="R"/>
    <s v="B"/>
    <n v="1"/>
    <m/>
    <m/>
    <n v="-6"/>
    <n v="2.5"/>
    <s v="Right"/>
    <n v="2.5"/>
    <m/>
    <s v="Field"/>
    <m/>
    <s v="50-21"/>
  </r>
  <r>
    <n v="49"/>
    <x v="2"/>
    <n v="2"/>
    <n v="16"/>
    <n v="40"/>
    <n v="-3"/>
    <s v="M"/>
    <m/>
    <m/>
    <x v="1"/>
    <s v="R"/>
    <s v="B"/>
    <n v="1"/>
    <m/>
    <m/>
    <n v="-3"/>
    <n v="2.5"/>
    <s v="Right"/>
    <n v="2.5"/>
    <m/>
    <s v=""/>
    <m/>
    <s v="50-21"/>
  </r>
  <r>
    <n v="50"/>
    <x v="3"/>
    <n v="3"/>
    <n v="19"/>
    <n v="43"/>
    <n v="12"/>
    <s v="M"/>
    <m/>
    <m/>
    <x v="0"/>
    <s v="R"/>
    <m/>
    <n v="1"/>
    <n v="1"/>
    <s v="M"/>
    <n v="12"/>
    <n v="2.5"/>
    <s v="Right"/>
    <n v="1.5"/>
    <m/>
    <s v=""/>
    <m/>
    <s v="50-21"/>
  </r>
  <r>
    <n v="61"/>
    <x v="1"/>
    <n v="1"/>
    <n v="10"/>
    <n v="-47"/>
    <n v="4"/>
    <s v="M"/>
    <m/>
    <m/>
    <x v="0"/>
    <s v="R"/>
    <m/>
    <n v="1"/>
    <n v="1"/>
    <s v="S"/>
    <n v="4"/>
    <n v="2.5"/>
    <s v="Right"/>
    <n v="0.5"/>
    <m/>
    <s v=""/>
    <m/>
    <s v="21-49"/>
  </r>
  <r>
    <n v="62"/>
    <x v="2"/>
    <n v="2"/>
    <n v="6"/>
    <n v="49"/>
    <n v="4"/>
    <s v="R"/>
    <m/>
    <m/>
    <x v="1"/>
    <s v="R"/>
    <s v="B"/>
    <n v="1"/>
    <m/>
    <m/>
    <n v="4"/>
    <n v="2.5"/>
    <s v="Right"/>
    <n v="2.5"/>
    <m/>
    <s v="Boundry"/>
    <m/>
    <s v="50-21"/>
  </r>
  <r>
    <n v="63"/>
    <x v="3"/>
    <n v="3"/>
    <n v="2"/>
    <n v="45"/>
    <n v="2"/>
    <s v="R"/>
    <m/>
    <m/>
    <x v="1"/>
    <s v="R"/>
    <s v="B"/>
    <n v="1"/>
    <m/>
    <m/>
    <n v="2"/>
    <n v="2.5"/>
    <s v="Right"/>
    <n v="2.5"/>
    <m/>
    <s v="Boundry"/>
    <m/>
    <s v="50-21"/>
  </r>
  <r>
    <n v="64"/>
    <x v="1"/>
    <n v="1"/>
    <n v="10"/>
    <n v="43"/>
    <n v="9"/>
    <s v="R"/>
    <m/>
    <m/>
    <x v="1"/>
    <s v="L"/>
    <s v="B"/>
    <n v="1"/>
    <m/>
    <m/>
    <n v="9"/>
    <n v="0.5"/>
    <s v="Left"/>
    <n v="2.5"/>
    <m/>
    <s v="Field"/>
    <m/>
    <s v="50-21"/>
  </r>
  <r>
    <n v="65"/>
    <x v="2"/>
    <n v="2"/>
    <n v="1"/>
    <n v="34"/>
    <n v="29"/>
    <s v="L"/>
    <m/>
    <m/>
    <x v="1"/>
    <s v="R"/>
    <s v="B"/>
    <n v="1"/>
    <m/>
    <m/>
    <n v="29"/>
    <n v="2.5"/>
    <s v="Right"/>
    <n v="2.5"/>
    <m/>
    <s v="Field"/>
    <m/>
    <s v="50-21"/>
  </r>
  <r>
    <n v="66"/>
    <x v="1"/>
    <n v="1"/>
    <n v="5"/>
    <n v="5"/>
    <n v="5"/>
    <s v="R"/>
    <m/>
    <m/>
    <x v="1"/>
    <s v="R"/>
    <s v="B"/>
    <n v="1"/>
    <m/>
    <m/>
    <n v="5"/>
    <n v="2.5"/>
    <s v="Right"/>
    <n v="2.5"/>
    <m/>
    <s v="Boundry"/>
    <m/>
    <s v="Red Zone"/>
  </r>
  <r>
    <n v="100"/>
    <x v="1"/>
    <n v="1"/>
    <n v="10"/>
    <n v="-27"/>
    <n v="23"/>
    <s v="L"/>
    <m/>
    <m/>
    <x v="0"/>
    <s v="R"/>
    <m/>
    <n v="1"/>
    <n v="1"/>
    <s v="D"/>
    <n v="23"/>
    <n v="2.5"/>
    <s v="Right"/>
    <n v="2.5"/>
    <m/>
    <s v="Field"/>
    <m/>
    <s v="21-49"/>
  </r>
  <r>
    <n v="101"/>
    <x v="1"/>
    <n v="1"/>
    <n v="10"/>
    <n v="50"/>
    <n v="48"/>
    <s v="R"/>
    <m/>
    <m/>
    <x v="1"/>
    <s v="L"/>
    <s v="B"/>
    <n v="1"/>
    <m/>
    <m/>
    <n v="48"/>
    <n v="0.5"/>
    <s v="Left"/>
    <n v="2.5"/>
    <m/>
    <s v="Field"/>
    <m/>
    <s v="50-21"/>
  </r>
  <r>
    <n v="102"/>
    <x v="1"/>
    <n v="1"/>
    <n v="2"/>
    <n v="2"/>
    <n v="0"/>
    <s v="R"/>
    <m/>
    <m/>
    <x v="1"/>
    <s v="R"/>
    <s v="B"/>
    <n v="1"/>
    <m/>
    <m/>
    <n v="0"/>
    <n v="2.5"/>
    <s v="Right"/>
    <n v="2.5"/>
    <m/>
    <s v="Boundry"/>
    <m/>
    <s v="Goal Line"/>
  </r>
  <r>
    <n v="104"/>
    <x v="2"/>
    <n v="2"/>
    <n v="2"/>
    <n v="2"/>
    <n v="-3"/>
    <s v="R"/>
    <m/>
    <m/>
    <x v="1"/>
    <s v="L"/>
    <s v="B"/>
    <n v="1"/>
    <m/>
    <m/>
    <n v="-3"/>
    <n v="0.5"/>
    <s v="Left"/>
    <n v="2.5"/>
    <m/>
    <s v="Field"/>
    <m/>
    <s v="Goal Line"/>
  </r>
  <r>
    <n v="108"/>
    <x v="3"/>
    <n v="3"/>
    <n v="15"/>
    <n v="15"/>
    <n v="0"/>
    <s v="L"/>
    <m/>
    <m/>
    <x v="0"/>
    <s v="R"/>
    <m/>
    <n v="1"/>
    <n v="0"/>
    <m/>
    <n v="0"/>
    <n v="2.5"/>
    <s v="Right"/>
    <n v="2.5"/>
    <m/>
    <s v="Field"/>
    <m/>
    <s v="Red Zone"/>
  </r>
  <r>
    <n v="117"/>
    <x v="1"/>
    <n v="1"/>
    <n v="10"/>
    <n v="33"/>
    <n v="-1"/>
    <s v="L"/>
    <m/>
    <m/>
    <x v="1"/>
    <s v="L"/>
    <s v="B"/>
    <n v="1"/>
    <m/>
    <m/>
    <n v="-1"/>
    <n v="0.5"/>
    <s v="Left"/>
    <n v="2.5"/>
    <m/>
    <s v="Boundry"/>
    <m/>
    <s v="50-21"/>
  </r>
  <r>
    <n v="118"/>
    <x v="2"/>
    <n v="2"/>
    <n v="11"/>
    <n v="34"/>
    <n v="2"/>
    <s v="L"/>
    <m/>
    <m/>
    <x v="1"/>
    <s v="R"/>
    <s v="B"/>
    <n v="1"/>
    <m/>
    <m/>
    <n v="2"/>
    <n v="2.5"/>
    <s v="Right"/>
    <n v="2.5"/>
    <m/>
    <s v="Field"/>
    <m/>
    <s v="50-21"/>
  </r>
  <r>
    <n v="119"/>
    <x v="3"/>
    <n v="3"/>
    <n v="9"/>
    <n v="32"/>
    <n v="0"/>
    <s v="R"/>
    <m/>
    <m/>
    <x v="0"/>
    <s v="L"/>
    <m/>
    <n v="1"/>
    <n v="0"/>
    <m/>
    <n v="0"/>
    <n v="0.5"/>
    <s v="Left"/>
    <n v="2.5"/>
    <m/>
    <s v="Field"/>
    <m/>
    <s v="50-21"/>
  </r>
  <r>
    <n v="134"/>
    <x v="1"/>
    <n v="1"/>
    <n v="10"/>
    <n v="-34"/>
    <n v="0"/>
    <s v="R"/>
    <m/>
    <m/>
    <x v="1"/>
    <s v="L"/>
    <s v="B"/>
    <n v="1"/>
    <m/>
    <m/>
    <n v="0"/>
    <n v="0.5"/>
    <s v="Left"/>
    <n v="2.5"/>
    <m/>
    <s v="Field"/>
    <m/>
    <s v="21-49"/>
  </r>
  <r>
    <n v="135"/>
    <x v="2"/>
    <n v="2"/>
    <n v="10"/>
    <n v="-34"/>
    <n v="2"/>
    <s v="M"/>
    <m/>
    <m/>
    <x v="1"/>
    <s v="L"/>
    <s v="B"/>
    <n v="1"/>
    <m/>
    <m/>
    <n v="2"/>
    <n v="0.5"/>
    <s v="Left"/>
    <n v="2.5"/>
    <m/>
    <s v=""/>
    <m/>
    <s v="21-49"/>
  </r>
  <r>
    <n v="136"/>
    <x v="3"/>
    <n v="3"/>
    <n v="8"/>
    <n v="-36"/>
    <n v="-9"/>
    <s v="R"/>
    <m/>
    <m/>
    <x v="0"/>
    <s v="M"/>
    <m/>
    <n v="1"/>
    <n v="0"/>
    <s v="S"/>
    <n v="-9"/>
    <n v="1.5"/>
    <s v="Middle"/>
    <n v="0.5"/>
    <m/>
    <s v=""/>
    <m/>
    <s v="21-49"/>
  </r>
  <r>
    <n v="143"/>
    <x v="1"/>
    <n v="1"/>
    <n v="10"/>
    <n v="42"/>
    <n v="0"/>
    <s v="R"/>
    <m/>
    <m/>
    <x v="1"/>
    <s v="R"/>
    <s v="B"/>
    <n v="1"/>
    <m/>
    <m/>
    <n v="0"/>
    <n v="2.5"/>
    <s v="Right"/>
    <n v="2.5"/>
    <m/>
    <s v="Boundry"/>
    <m/>
    <s v="50-21"/>
  </r>
  <r>
    <n v="144"/>
    <x v="2"/>
    <n v="2"/>
    <n v="10"/>
    <n v="42"/>
    <n v="13"/>
    <s v="R"/>
    <m/>
    <m/>
    <x v="0"/>
    <s v="L"/>
    <m/>
    <n v="1"/>
    <n v="1"/>
    <s v="D"/>
    <n v="13"/>
    <n v="0.5"/>
    <s v="Left"/>
    <n v="2.5"/>
    <m/>
    <s v="Field"/>
    <m/>
    <s v="50-21"/>
  </r>
  <r>
    <n v="145"/>
    <x v="1"/>
    <n v="1"/>
    <n v="10"/>
    <n v="29"/>
    <n v="0"/>
    <s v="L"/>
    <m/>
    <m/>
    <x v="0"/>
    <s v="R"/>
    <m/>
    <n v="1"/>
    <n v="0"/>
    <m/>
    <n v="0"/>
    <n v="2.5"/>
    <s v="Right"/>
    <n v="2.5"/>
    <m/>
    <s v="Field"/>
    <m/>
    <s v="50-21"/>
  </r>
  <r>
    <n v="152"/>
    <x v="1"/>
    <n v="1"/>
    <n v="10"/>
    <n v="-30"/>
    <n v="16"/>
    <s v="R"/>
    <m/>
    <m/>
    <x v="1"/>
    <s v="R"/>
    <s v="B"/>
    <n v="1"/>
    <m/>
    <m/>
    <n v="16"/>
    <n v="2.5"/>
    <s v="Right"/>
    <n v="2.5"/>
    <m/>
    <s v="Boundry"/>
    <m/>
    <s v="21-49"/>
  </r>
  <r>
    <n v="153"/>
    <x v="1"/>
    <n v="1"/>
    <n v="10"/>
    <n v="-46"/>
    <n v="-4"/>
    <s v="R"/>
    <m/>
    <m/>
    <x v="1"/>
    <s v="L"/>
    <s v="B"/>
    <n v="1"/>
    <m/>
    <m/>
    <n v="-4"/>
    <n v="0.5"/>
    <s v="Left"/>
    <n v="2.5"/>
    <m/>
    <s v="Field"/>
    <m/>
    <s v="21-49"/>
  </r>
  <r>
    <n v="154"/>
    <x v="2"/>
    <n v="2"/>
    <n v="14"/>
    <n v="-42"/>
    <n v="0"/>
    <s v="R"/>
    <m/>
    <m/>
    <x v="1"/>
    <s v="R"/>
    <s v="B"/>
    <n v="1"/>
    <m/>
    <m/>
    <n v="0"/>
    <n v="2.5"/>
    <s v="Right"/>
    <n v="2.5"/>
    <m/>
    <s v="Boundry"/>
    <m/>
    <s v="21-49"/>
  </r>
  <r>
    <n v="155"/>
    <x v="3"/>
    <n v="3"/>
    <n v="14"/>
    <n v="-42"/>
    <n v="5"/>
    <s v="R"/>
    <m/>
    <m/>
    <x v="0"/>
    <s v="L"/>
    <m/>
    <n v="1"/>
    <n v="1"/>
    <s v="S"/>
    <n v="5"/>
    <n v="0.5"/>
    <s v="Left"/>
    <n v="0.5"/>
    <m/>
    <s v="Field"/>
    <m/>
    <s v="21-49"/>
  </r>
  <r>
    <n v="175"/>
    <x v="1"/>
    <n v="1"/>
    <n v="20"/>
    <n v="-2"/>
    <n v="12"/>
    <s v="L"/>
    <m/>
    <m/>
    <x v="1"/>
    <s v="R"/>
    <s v="B"/>
    <n v="1"/>
    <m/>
    <m/>
    <n v="12"/>
    <n v="2.5"/>
    <s v="Right"/>
    <n v="2.5"/>
    <m/>
    <s v="Field"/>
    <m/>
    <s v="0-20"/>
  </r>
  <r>
    <n v="176"/>
    <x v="2"/>
    <n v="2"/>
    <n v="8"/>
    <n v="-14"/>
    <n v="11"/>
    <s v="M"/>
    <m/>
    <m/>
    <x v="1"/>
    <s v="R"/>
    <s v="B"/>
    <n v="1"/>
    <m/>
    <m/>
    <n v="11"/>
    <n v="2.5"/>
    <s v="Right"/>
    <n v="2.5"/>
    <m/>
    <s v=""/>
    <m/>
    <s v="0-20"/>
  </r>
  <r>
    <n v="183"/>
    <x v="1"/>
    <n v="1"/>
    <n v="31"/>
    <n v="-4"/>
    <n v="4"/>
    <s v="L"/>
    <m/>
    <m/>
    <x v="1"/>
    <s v="L"/>
    <s v="B"/>
    <n v="1"/>
    <m/>
    <m/>
    <n v="4"/>
    <n v="0.5"/>
    <s v="Left"/>
    <n v="2.5"/>
    <m/>
    <s v="Boundry"/>
    <m/>
    <s v="0-20"/>
  </r>
  <r>
    <n v="184"/>
    <x v="2"/>
    <n v="2"/>
    <n v="27"/>
    <n v="-8"/>
    <n v="22"/>
    <s v="L"/>
    <m/>
    <m/>
    <x v="0"/>
    <s v="R"/>
    <m/>
    <n v="1"/>
    <n v="1"/>
    <s v="D"/>
    <n v="22"/>
    <n v="2.5"/>
    <s v="Right"/>
    <n v="2.5"/>
    <m/>
    <s v="Field"/>
    <m/>
    <s v="0-20"/>
  </r>
  <r>
    <n v="185"/>
    <x v="3"/>
    <n v="3"/>
    <n v="10"/>
    <n v="-30"/>
    <n v="-11"/>
    <s v="R"/>
    <m/>
    <m/>
    <x v="0"/>
    <s v="M"/>
    <m/>
    <n v="1"/>
    <n v="0"/>
    <s v="S"/>
    <n v="-11"/>
    <n v="1.5"/>
    <s v="Middle"/>
    <n v="0.5"/>
    <m/>
    <s v=""/>
    <m/>
    <s v="21-49"/>
  </r>
  <r>
    <n v="199"/>
    <x v="1"/>
    <n v="1"/>
    <n v="10"/>
    <n v="21"/>
    <n v="0"/>
    <s v="R"/>
    <m/>
    <m/>
    <x v="0"/>
    <s v="L"/>
    <m/>
    <n v="1"/>
    <n v="0"/>
    <m/>
    <n v="0"/>
    <n v="0.5"/>
    <s v="Left"/>
    <n v="2.5"/>
    <m/>
    <s v="Field"/>
    <m/>
    <s v="50-21"/>
  </r>
  <r>
    <n v="204"/>
    <x v="2"/>
    <n v="2"/>
    <n v="6"/>
    <n v="17"/>
    <n v="13"/>
    <s v="R"/>
    <m/>
    <m/>
    <x v="1"/>
    <s v="L"/>
    <s v="B"/>
    <n v="1"/>
    <m/>
    <m/>
    <n v="13"/>
    <n v="0.5"/>
    <s v="Left"/>
    <n v="2.5"/>
    <m/>
    <s v="Field"/>
    <m/>
    <s v="Red Zone"/>
  </r>
  <r>
    <n v="205"/>
    <x v="1"/>
    <n v="1"/>
    <n v="4"/>
    <n v="4"/>
    <n v="0"/>
    <s v="L"/>
    <m/>
    <m/>
    <x v="1"/>
    <s v="R"/>
    <s v="B"/>
    <n v="1"/>
    <m/>
    <m/>
    <n v="0"/>
    <n v="2.5"/>
    <s v="Right"/>
    <n v="2.5"/>
    <m/>
    <s v="Field"/>
    <m/>
    <s v="Red Zone"/>
  </r>
  <r>
    <n v="206"/>
    <x v="2"/>
    <n v="2"/>
    <n v="4"/>
    <n v="4"/>
    <n v="2"/>
    <s v="L"/>
    <m/>
    <m/>
    <x v="1"/>
    <s v="R"/>
    <s v="C"/>
    <n v="1"/>
    <m/>
    <m/>
    <n v="2"/>
    <n v="2.5"/>
    <s v="Right"/>
    <n v="2.5"/>
    <m/>
    <s v="Field"/>
    <m/>
    <s v="Red Zone"/>
  </r>
  <r>
    <n v="207"/>
    <x v="3"/>
    <n v="3"/>
    <n v="2"/>
    <n v="2"/>
    <n v="-4"/>
    <s v="R"/>
    <m/>
    <m/>
    <x v="1"/>
    <s v="L"/>
    <s v="B"/>
    <n v="1"/>
    <m/>
    <m/>
    <n v="-4"/>
    <n v="0.5"/>
    <s v="Left"/>
    <n v="2.5"/>
    <m/>
    <s v="Field"/>
    <m/>
    <s v="Goal Line"/>
  </r>
  <r>
    <n v="221"/>
    <x v="1"/>
    <n v="1"/>
    <n v="10"/>
    <n v="-31"/>
    <n v="15"/>
    <s v="L"/>
    <m/>
    <m/>
    <x v="1"/>
    <s v="R"/>
    <s v="B"/>
    <n v="1"/>
    <m/>
    <m/>
    <n v="15"/>
    <n v="2.5"/>
    <s v="Right"/>
    <n v="2.5"/>
    <m/>
    <s v="Field"/>
    <m/>
    <s v="21-49"/>
  </r>
  <r>
    <n v="224"/>
    <x v="1"/>
    <n v="1"/>
    <n v="10"/>
    <n v="-46"/>
    <n v="-1"/>
    <s v="L"/>
    <m/>
    <m/>
    <x v="1"/>
    <s v="R"/>
    <s v="B"/>
    <n v="1"/>
    <m/>
    <m/>
    <n v="-1"/>
    <n v="2.5"/>
    <s v="Right"/>
    <n v="2.5"/>
    <m/>
    <s v="Field"/>
    <m/>
    <s v="21-49"/>
  </r>
  <r>
    <n v="226"/>
    <x v="2"/>
    <n v="2"/>
    <n v="11"/>
    <n v="-45"/>
    <n v="55"/>
    <s v="R"/>
    <m/>
    <m/>
    <x v="1"/>
    <s v="L"/>
    <s v="B"/>
    <n v="1"/>
    <m/>
    <m/>
    <n v="55"/>
    <n v="0.5"/>
    <s v="Left"/>
    <n v="2.5"/>
    <m/>
    <s v="Field"/>
    <m/>
    <s v="21-49"/>
  </r>
  <r>
    <n v="19"/>
    <x v="1"/>
    <n v="1"/>
    <n v="10"/>
    <n v="-27"/>
    <n v="16"/>
    <s v="L"/>
    <m/>
    <m/>
    <x v="1"/>
    <s v="R"/>
    <s v="B"/>
    <n v="1"/>
    <m/>
    <m/>
    <n v="16"/>
    <n v="2.5"/>
    <s v="Right"/>
    <n v="2.5"/>
    <m/>
    <s v="Field"/>
    <m/>
    <s v="21-49"/>
  </r>
  <r>
    <n v="22"/>
    <x v="1"/>
    <n v="1"/>
    <n v="5"/>
    <n v="-48"/>
    <n v="1"/>
    <s v="L"/>
    <m/>
    <m/>
    <x v="1"/>
    <s v="R"/>
    <s v="B"/>
    <n v="1"/>
    <m/>
    <m/>
    <n v="1"/>
    <n v="2.5"/>
    <s v="Right"/>
    <n v="2.5"/>
    <m/>
    <s v="Field"/>
    <m/>
    <s v="21-49"/>
  </r>
  <r>
    <n v="23"/>
    <x v="2"/>
    <n v="2"/>
    <n v="4"/>
    <n v="-49"/>
    <n v="5"/>
    <s v="M"/>
    <m/>
    <m/>
    <x v="1"/>
    <s v="R"/>
    <s v="B"/>
    <n v="1"/>
    <m/>
    <m/>
    <n v="5"/>
    <n v="2.5"/>
    <s v="Right"/>
    <n v="2.5"/>
    <m/>
    <s v=""/>
    <m/>
    <s v="21-49"/>
  </r>
  <r>
    <n v="24"/>
    <x v="1"/>
    <n v="1"/>
    <n v="10"/>
    <n v="46"/>
    <n v="3"/>
    <s v="R"/>
    <m/>
    <m/>
    <x v="1"/>
    <s v="R"/>
    <s v="B"/>
    <n v="1"/>
    <m/>
    <m/>
    <n v="3"/>
    <n v="2.5"/>
    <s v="Right"/>
    <n v="2.5"/>
    <m/>
    <s v="Boundry"/>
    <m/>
    <s v="50-21"/>
  </r>
  <r>
    <n v="28"/>
    <x v="2"/>
    <n v="2"/>
    <n v="15"/>
    <n v="-49"/>
    <n v="3"/>
    <s v="L"/>
    <m/>
    <m/>
    <x v="1"/>
    <s v="L"/>
    <s v="C"/>
    <n v="1"/>
    <m/>
    <m/>
    <n v="3"/>
    <n v="0.5"/>
    <s v="Left"/>
    <n v="2.5"/>
    <m/>
    <s v="Boundry"/>
    <m/>
    <s v="21-49"/>
  </r>
  <r>
    <n v="30"/>
    <x v="3"/>
    <n v="3"/>
    <n v="12"/>
    <n v="48"/>
    <n v="0"/>
    <s v="L"/>
    <m/>
    <m/>
    <x v="0"/>
    <s v="R"/>
    <m/>
    <n v="1"/>
    <n v="0"/>
    <m/>
    <n v="0"/>
    <n v="2.5"/>
    <s v="Right"/>
    <n v="2.5"/>
    <m/>
    <s v="Field"/>
    <m/>
    <s v="50-21"/>
  </r>
  <r>
    <n v="43"/>
    <x v="1"/>
    <n v="1"/>
    <n v="10"/>
    <n v="-40"/>
    <n v="-1"/>
    <s v="M"/>
    <m/>
    <m/>
    <x v="1"/>
    <s v="R"/>
    <s v="B"/>
    <n v="1"/>
    <m/>
    <m/>
    <n v="-1"/>
    <n v="2.5"/>
    <s v="Right"/>
    <n v="2.5"/>
    <m/>
    <s v=""/>
    <m/>
    <s v="21-49"/>
  </r>
  <r>
    <n v="44"/>
    <x v="2"/>
    <n v="2"/>
    <n v="11"/>
    <n v="-39"/>
    <n v="0"/>
    <s v="R"/>
    <m/>
    <m/>
    <x v="0"/>
    <s v="M"/>
    <m/>
    <n v="1"/>
    <n v="0"/>
    <s v="S"/>
    <n v="0"/>
    <n v="1.5"/>
    <s v="Middle"/>
    <n v="0.5"/>
    <m/>
    <s v=""/>
    <m/>
    <s v="21-49"/>
  </r>
  <r>
    <n v="46"/>
    <x v="3"/>
    <n v="3"/>
    <n v="20"/>
    <n v="-30"/>
    <n v="0"/>
    <s v="R"/>
    <m/>
    <m/>
    <x v="0"/>
    <s v="R"/>
    <m/>
    <n v="1"/>
    <n v="0"/>
    <m/>
    <n v="0"/>
    <n v="2.5"/>
    <s v="Right"/>
    <n v="2.5"/>
    <m/>
    <s v="Boundry"/>
    <m/>
    <s v="21-49"/>
  </r>
  <r>
    <n v="58"/>
    <x v="1"/>
    <n v="1"/>
    <n v="10"/>
    <n v="-32"/>
    <n v="2"/>
    <s v="M"/>
    <m/>
    <m/>
    <x v="1"/>
    <s v="R"/>
    <s v="B"/>
    <n v="1"/>
    <m/>
    <m/>
    <n v="2"/>
    <n v="2.5"/>
    <s v="Right"/>
    <n v="2.5"/>
    <m/>
    <s v=""/>
    <m/>
    <s v="21-49"/>
  </r>
  <r>
    <n v="59"/>
    <x v="2"/>
    <n v="2"/>
    <n v="8"/>
    <n v="-34"/>
    <n v="6"/>
    <s v="R"/>
    <m/>
    <m/>
    <x v="1"/>
    <s v="L"/>
    <s v="B"/>
    <n v="1"/>
    <m/>
    <m/>
    <n v="6"/>
    <n v="0.5"/>
    <s v="Left"/>
    <n v="2.5"/>
    <m/>
    <s v="Field"/>
    <m/>
    <s v="21-49"/>
  </r>
  <r>
    <n v="60"/>
    <x v="3"/>
    <n v="3"/>
    <n v="2"/>
    <n v="-40"/>
    <n v="5"/>
    <s v="M"/>
    <m/>
    <m/>
    <x v="1"/>
    <s v="R"/>
    <s v="B"/>
    <n v="1"/>
    <m/>
    <m/>
    <n v="5"/>
    <n v="2.5"/>
    <s v="Right"/>
    <n v="2.5"/>
    <m/>
    <s v=""/>
    <m/>
    <s v="21-49"/>
  </r>
  <r>
    <n v="61"/>
    <x v="1"/>
    <n v="1"/>
    <n v="10"/>
    <n v="-45"/>
    <n v="0"/>
    <s v="R"/>
    <m/>
    <m/>
    <x v="1"/>
    <s v="R"/>
    <s v="B"/>
    <n v="1"/>
    <m/>
    <m/>
    <n v="0"/>
    <n v="2.5"/>
    <s v="Right"/>
    <n v="2.5"/>
    <m/>
    <s v="Boundry"/>
    <m/>
    <s v="21-49"/>
  </r>
  <r>
    <n v="62"/>
    <x v="2"/>
    <n v="2"/>
    <n v="10"/>
    <n v="-45"/>
    <n v="-4"/>
    <s v="R"/>
    <m/>
    <m/>
    <x v="1"/>
    <s v="L"/>
    <s v="B"/>
    <n v="1"/>
    <m/>
    <m/>
    <n v="-4"/>
    <n v="0.5"/>
    <s v="Left"/>
    <n v="2.5"/>
    <m/>
    <s v="Field"/>
    <m/>
    <s v="21-49"/>
  </r>
  <r>
    <n v="63"/>
    <x v="3"/>
    <n v="3"/>
    <n v="14"/>
    <n v="-41"/>
    <n v="0"/>
    <s v="L"/>
    <m/>
    <m/>
    <x v="0"/>
    <s v="R"/>
    <m/>
    <n v="1"/>
    <n v="0"/>
    <m/>
    <n v="0"/>
    <n v="2.5"/>
    <s v="Right"/>
    <n v="2.5"/>
    <m/>
    <s v="Field"/>
    <m/>
    <s v="21-49"/>
  </r>
  <r>
    <n v="75"/>
    <x v="1"/>
    <n v="1"/>
    <n v="10"/>
    <n v="45"/>
    <n v="17"/>
    <s v="L"/>
    <m/>
    <m/>
    <x v="0"/>
    <s v="R"/>
    <m/>
    <n v="1"/>
    <n v="1"/>
    <s v="D"/>
    <n v="17"/>
    <n v="2.5"/>
    <s v="Right"/>
    <n v="2.5"/>
    <m/>
    <s v="Field"/>
    <m/>
    <s v="50-21"/>
  </r>
  <r>
    <n v="76"/>
    <x v="1"/>
    <n v="1"/>
    <n v="10"/>
    <n v="28"/>
    <n v="8"/>
    <s v="L"/>
    <m/>
    <m/>
    <x v="1"/>
    <s v="L"/>
    <s v="B"/>
    <n v="1"/>
    <m/>
    <m/>
    <n v="8"/>
    <n v="0.5"/>
    <s v="Left"/>
    <n v="2.5"/>
    <m/>
    <s v="Boundry"/>
    <m/>
    <s v="50-21"/>
  </r>
  <r>
    <n v="78"/>
    <x v="1"/>
    <n v="1"/>
    <n v="10"/>
    <n v="15"/>
    <n v="-2"/>
    <s v="L"/>
    <m/>
    <m/>
    <x v="1"/>
    <s v="R"/>
    <s v="B"/>
    <n v="1"/>
    <m/>
    <m/>
    <n v="-2"/>
    <n v="2.5"/>
    <s v="Right"/>
    <n v="2.5"/>
    <m/>
    <s v="Field"/>
    <m/>
    <s v="Red Zone"/>
  </r>
  <r>
    <n v="79"/>
    <x v="2"/>
    <n v="2"/>
    <n v="12"/>
    <n v="17"/>
    <n v="1"/>
    <s v="R"/>
    <m/>
    <m/>
    <x v="1"/>
    <s v="R"/>
    <s v="B"/>
    <n v="1"/>
    <m/>
    <m/>
    <n v="1"/>
    <n v="2.5"/>
    <s v="Right"/>
    <n v="2.5"/>
    <m/>
    <s v="Boundry"/>
    <m/>
    <s v="Red Zone"/>
  </r>
  <r>
    <n v="80"/>
    <x v="3"/>
    <n v="3"/>
    <n v="11"/>
    <n v="16"/>
    <n v="12"/>
    <s v="R"/>
    <m/>
    <m/>
    <x v="1"/>
    <s v="R"/>
    <s v="B"/>
    <n v="1"/>
    <m/>
    <m/>
    <n v="12"/>
    <n v="2.5"/>
    <s v="Right"/>
    <n v="2.5"/>
    <m/>
    <s v="Boundry"/>
    <m/>
    <s v="Red Zone"/>
  </r>
  <r>
    <n v="82"/>
    <x v="1"/>
    <n v="1"/>
    <n v="10"/>
    <n v="4"/>
    <n v="-1"/>
    <s v="R"/>
    <m/>
    <m/>
    <x v="1"/>
    <s v="L"/>
    <s v="B"/>
    <n v="1"/>
    <m/>
    <m/>
    <n v="-1"/>
    <n v="0.5"/>
    <s v="Left"/>
    <n v="2.5"/>
    <m/>
    <s v="Field"/>
    <m/>
    <s v="Red Zone"/>
  </r>
  <r>
    <n v="83"/>
    <x v="2"/>
    <n v="2"/>
    <n v="11"/>
    <n v="5"/>
    <n v="1"/>
    <s v="L"/>
    <m/>
    <m/>
    <x v="1"/>
    <s v="R"/>
    <s v="B"/>
    <n v="1"/>
    <m/>
    <m/>
    <n v="1"/>
    <n v="2.5"/>
    <s v="Right"/>
    <n v="2.5"/>
    <m/>
    <s v="Field"/>
    <m/>
    <s v="Red Zone"/>
  </r>
  <r>
    <n v="85"/>
    <x v="3"/>
    <n v="3"/>
    <n v="4"/>
    <n v="4"/>
    <n v="4"/>
    <s v="L"/>
    <m/>
    <m/>
    <x v="1"/>
    <s v="R"/>
    <s v="B"/>
    <n v="1"/>
    <m/>
    <m/>
    <n v="4"/>
    <n v="2.5"/>
    <s v="Right"/>
    <n v="2.5"/>
    <m/>
    <s v="Field"/>
    <m/>
    <s v="Red Zone"/>
  </r>
  <r>
    <n v="107"/>
    <x v="1"/>
    <n v="1"/>
    <n v="10"/>
    <n v="-24"/>
    <n v="13"/>
    <s v="L"/>
    <m/>
    <m/>
    <x v="0"/>
    <s v="R"/>
    <m/>
    <n v="1"/>
    <n v="1"/>
    <s v="D"/>
    <n v="13"/>
    <n v="2.5"/>
    <s v="Right"/>
    <n v="2.5"/>
    <m/>
    <s v="Field"/>
    <m/>
    <s v="21-49"/>
  </r>
  <r>
    <n v="108"/>
    <x v="1"/>
    <n v="1"/>
    <n v="10"/>
    <n v="-37"/>
    <n v="8"/>
    <s v="L"/>
    <m/>
    <m/>
    <x v="1"/>
    <s v="R"/>
    <s v="B"/>
    <n v="1"/>
    <m/>
    <m/>
    <n v="8"/>
    <n v="2.5"/>
    <s v="Right"/>
    <n v="2.5"/>
    <m/>
    <s v="Field"/>
    <m/>
    <s v="21-49"/>
  </r>
  <r>
    <n v="109"/>
    <x v="2"/>
    <n v="2"/>
    <n v="2"/>
    <n v="-45"/>
    <n v="0"/>
    <s v="R"/>
    <m/>
    <m/>
    <x v="1"/>
    <s v="R"/>
    <s v="B"/>
    <n v="1"/>
    <m/>
    <m/>
    <n v="0"/>
    <n v="2.5"/>
    <s v="Right"/>
    <n v="2.5"/>
    <m/>
    <s v="Boundry"/>
    <m/>
    <s v="21-49"/>
  </r>
  <r>
    <n v="110"/>
    <x v="3"/>
    <n v="3"/>
    <n v="2"/>
    <n v="-45"/>
    <n v="10"/>
    <s v="R"/>
    <m/>
    <m/>
    <x v="1"/>
    <s v="R"/>
    <s v="B"/>
    <n v="1"/>
    <m/>
    <m/>
    <n v="10"/>
    <n v="2.5"/>
    <s v="Right"/>
    <n v="2.5"/>
    <m/>
    <s v="Boundry"/>
    <m/>
    <s v="21-49"/>
  </r>
  <r>
    <n v="111"/>
    <x v="1"/>
    <n v="1"/>
    <n v="10"/>
    <n v="45"/>
    <n v="9"/>
    <s v="R"/>
    <m/>
    <m/>
    <x v="1"/>
    <s v="L"/>
    <s v="B"/>
    <n v="1"/>
    <m/>
    <m/>
    <n v="9"/>
    <n v="0.5"/>
    <s v="Left"/>
    <n v="2.5"/>
    <m/>
    <s v="Field"/>
    <m/>
    <s v="50-21"/>
  </r>
  <r>
    <n v="112"/>
    <x v="2"/>
    <n v="2"/>
    <n v="1"/>
    <n v="36"/>
    <n v="0"/>
    <s v="R"/>
    <m/>
    <m/>
    <x v="1"/>
    <s v="R"/>
    <s v="B"/>
    <n v="1"/>
    <m/>
    <m/>
    <n v="0"/>
    <n v="2.5"/>
    <s v="Right"/>
    <n v="2.5"/>
    <m/>
    <s v="Boundry"/>
    <m/>
    <s v="50-21"/>
  </r>
  <r>
    <n v="113"/>
    <x v="3"/>
    <n v="3"/>
    <n v="1"/>
    <n v="36"/>
    <n v="6"/>
    <s v="R"/>
    <m/>
    <m/>
    <x v="1"/>
    <s v="R"/>
    <s v="B"/>
    <n v="1"/>
    <m/>
    <m/>
    <n v="6"/>
    <n v="2.5"/>
    <s v="Right"/>
    <n v="2.5"/>
    <m/>
    <s v="Boundry"/>
    <m/>
    <s v="50-21"/>
  </r>
  <r>
    <n v="115"/>
    <x v="1"/>
    <n v="1"/>
    <n v="10"/>
    <n v="30"/>
    <n v="5"/>
    <s v="R"/>
    <m/>
    <m/>
    <x v="1"/>
    <s v="L"/>
    <s v="B"/>
    <n v="1"/>
    <m/>
    <m/>
    <n v="5"/>
    <n v="0.5"/>
    <s v="Left"/>
    <n v="2.5"/>
    <m/>
    <s v="Field"/>
    <m/>
    <s v="50-21"/>
  </r>
  <r>
    <n v="116"/>
    <x v="2"/>
    <n v="2"/>
    <n v="5"/>
    <n v="25"/>
    <n v="-2"/>
    <s v="R"/>
    <m/>
    <m/>
    <x v="1"/>
    <s v="R"/>
    <s v="B"/>
    <n v="1"/>
    <m/>
    <m/>
    <n v="-2"/>
    <n v="2.5"/>
    <s v="Right"/>
    <n v="2.5"/>
    <m/>
    <s v="Boundry"/>
    <m/>
    <s v="50-21"/>
  </r>
  <r>
    <n v="118"/>
    <x v="3"/>
    <n v="3"/>
    <n v="12"/>
    <n v="32"/>
    <n v="4"/>
    <s v="R"/>
    <m/>
    <m/>
    <x v="1"/>
    <s v="R"/>
    <s v="B"/>
    <n v="1"/>
    <m/>
    <m/>
    <n v="4"/>
    <n v="2.5"/>
    <s v="Right"/>
    <n v="2.5"/>
    <m/>
    <s v="Boundry"/>
    <m/>
    <s v="50-21"/>
  </r>
  <r>
    <n v="119"/>
    <x v="4"/>
    <n v="4"/>
    <n v="10"/>
    <n v="28"/>
    <n v="28"/>
    <s v="R"/>
    <m/>
    <m/>
    <x v="0"/>
    <s v="L"/>
    <m/>
    <n v="1"/>
    <n v="1"/>
    <s v="D"/>
    <n v="28"/>
    <n v="0.5"/>
    <s v="Left"/>
    <n v="2.5"/>
    <m/>
    <s v="Field"/>
    <m/>
    <s v="50-21"/>
  </r>
  <r>
    <n v="138"/>
    <x v="1"/>
    <n v="1"/>
    <n v="10"/>
    <n v="-33"/>
    <n v="-12"/>
    <s v="L"/>
    <m/>
    <m/>
    <x v="0"/>
    <s v="M"/>
    <m/>
    <n v="1"/>
    <n v="0"/>
    <s v="S"/>
    <n v="-12"/>
    <n v="1.5"/>
    <s v="Middle"/>
    <n v="0.5"/>
    <m/>
    <s v=""/>
    <m/>
    <s v="21-49"/>
  </r>
  <r>
    <n v="139"/>
    <x v="2"/>
    <n v="2"/>
    <n v="22"/>
    <n v="-21"/>
    <n v="0"/>
    <s v="M"/>
    <m/>
    <m/>
    <x v="0"/>
    <s v="R"/>
    <m/>
    <n v="1"/>
    <n v="0"/>
    <m/>
    <n v="0"/>
    <n v="2.5"/>
    <s v="Right"/>
    <n v="2.5"/>
    <m/>
    <s v=""/>
    <m/>
    <s v="21-49"/>
  </r>
  <r>
    <n v="140"/>
    <x v="3"/>
    <n v="3"/>
    <n v="22"/>
    <n v="-21"/>
    <n v="6"/>
    <s v="M"/>
    <m/>
    <m/>
    <x v="1"/>
    <s v="R"/>
    <s v="B"/>
    <n v="1"/>
    <m/>
    <m/>
    <n v="6"/>
    <n v="2.5"/>
    <s v="Right"/>
    <n v="2.5"/>
    <m/>
    <s v=""/>
    <m/>
    <s v="21-49"/>
  </r>
  <r>
    <n v="148"/>
    <x v="1"/>
    <n v="1"/>
    <n v="10"/>
    <n v="-24"/>
    <n v="0"/>
    <s v="L"/>
    <m/>
    <m/>
    <x v="0"/>
    <s v="R"/>
    <m/>
    <n v="1"/>
    <n v="0"/>
    <m/>
    <n v="0"/>
    <n v="2.5"/>
    <s v="Right"/>
    <n v="2.5"/>
    <m/>
    <s v="Field"/>
    <m/>
    <s v="21-49"/>
  </r>
  <r>
    <n v="149"/>
    <x v="2"/>
    <n v="2"/>
    <n v="10"/>
    <n v="-24"/>
    <n v="3"/>
    <s v="L"/>
    <m/>
    <m/>
    <x v="1"/>
    <s v="R"/>
    <s v="C"/>
    <n v="1"/>
    <m/>
    <m/>
    <n v="3"/>
    <n v="2.5"/>
    <s v="Right"/>
    <n v="2.5"/>
    <m/>
    <s v="Field"/>
    <m/>
    <s v="21-49"/>
  </r>
  <r>
    <n v="150"/>
    <x v="3"/>
    <n v="3"/>
    <n v="7"/>
    <n v="-27"/>
    <n v="0"/>
    <s v="M"/>
    <m/>
    <m/>
    <x v="0"/>
    <s v="R"/>
    <m/>
    <n v="1"/>
    <n v="0"/>
    <m/>
    <n v="0"/>
    <n v="2.5"/>
    <s v="Right"/>
    <n v="2.5"/>
    <m/>
    <s v=""/>
    <m/>
    <s v="21-49"/>
  </r>
  <r>
    <n v="159"/>
    <x v="1"/>
    <n v="1"/>
    <n v="10"/>
    <n v="-23"/>
    <n v="12"/>
    <s v="L"/>
    <m/>
    <m/>
    <x v="1"/>
    <s v="L"/>
    <s v="B"/>
    <n v="1"/>
    <m/>
    <m/>
    <n v="12"/>
    <n v="0.5"/>
    <s v="Left"/>
    <n v="2.5"/>
    <m/>
    <s v="Boundry"/>
    <m/>
    <s v="21-49"/>
  </r>
  <r>
    <n v="162"/>
    <x v="1"/>
    <n v="1"/>
    <n v="10"/>
    <n v="-45"/>
    <n v="-1"/>
    <s v="M"/>
    <m/>
    <m/>
    <x v="1"/>
    <s v="L"/>
    <s v="B"/>
    <n v="1"/>
    <m/>
    <m/>
    <n v="-1"/>
    <n v="0.5"/>
    <s v="Left"/>
    <n v="2.5"/>
    <m/>
    <s v=""/>
    <m/>
    <s v="21-49"/>
  </r>
  <r>
    <n v="164"/>
    <x v="2"/>
    <n v="2"/>
    <n v="11"/>
    <n v="-44"/>
    <n v="31"/>
    <s v="M"/>
    <m/>
    <m/>
    <x v="1"/>
    <s v="R"/>
    <s v="B"/>
    <n v="1"/>
    <m/>
    <m/>
    <n v="31"/>
    <n v="2.5"/>
    <s v="Right"/>
    <n v="2.5"/>
    <m/>
    <s v=""/>
    <m/>
    <s v="21-49"/>
  </r>
  <r>
    <n v="168"/>
    <x v="1"/>
    <n v="1"/>
    <n v="10"/>
    <n v="25"/>
    <n v="0"/>
    <s v="R"/>
    <m/>
    <m/>
    <x v="1"/>
    <s v="L"/>
    <s v="B"/>
    <n v="1"/>
    <m/>
    <m/>
    <n v="0"/>
    <n v="0.5"/>
    <s v="Left"/>
    <n v="2.5"/>
    <m/>
    <s v="Field"/>
    <m/>
    <s v="50-21"/>
  </r>
  <r>
    <n v="182"/>
    <x v="1"/>
    <n v="1"/>
    <n v="10"/>
    <n v="-36"/>
    <n v="1"/>
    <s v="L"/>
    <m/>
    <m/>
    <x v="1"/>
    <s v="R"/>
    <s v="B"/>
    <n v="1"/>
    <m/>
    <m/>
    <n v="1"/>
    <n v="2.5"/>
    <s v="Right"/>
    <n v="2.5"/>
    <m/>
    <s v="Field"/>
    <m/>
    <s v="21-49"/>
  </r>
  <r>
    <n v="183"/>
    <x v="2"/>
    <n v="2"/>
    <n v="9"/>
    <n v="-37"/>
    <n v="3"/>
    <s v="L"/>
    <m/>
    <m/>
    <x v="1"/>
    <s v="R"/>
    <s v="B"/>
    <n v="1"/>
    <m/>
    <m/>
    <n v="3"/>
    <n v="2.5"/>
    <s v="Right"/>
    <n v="2.5"/>
    <m/>
    <s v="Field"/>
    <m/>
    <s v="21-49"/>
  </r>
  <r>
    <n v="184"/>
    <x v="3"/>
    <n v="3"/>
    <n v="6"/>
    <n v="-40"/>
    <n v="-2"/>
    <s v="R"/>
    <m/>
    <m/>
    <x v="1"/>
    <s v="L"/>
    <s v="B"/>
    <n v="1"/>
    <m/>
    <m/>
    <n v="-2"/>
    <n v="0.5"/>
    <s v="Left"/>
    <n v="2.5"/>
    <m/>
    <s v="Field"/>
    <m/>
    <s v="21-49"/>
  </r>
  <r>
    <n v="193"/>
    <x v="1"/>
    <n v="1"/>
    <n v="10"/>
    <n v="-49"/>
    <n v="0"/>
    <s v="M"/>
    <m/>
    <m/>
    <x v="1"/>
    <s v="R"/>
    <s v="B"/>
    <n v="1"/>
    <m/>
    <m/>
    <n v="0"/>
    <n v="2.5"/>
    <s v="Right"/>
    <n v="2.5"/>
    <m/>
    <s v=""/>
    <m/>
    <s v="21-49"/>
  </r>
  <r>
    <n v="18"/>
    <x v="1"/>
    <n v="1"/>
    <n v="10"/>
    <n v="46"/>
    <n v="-1"/>
    <s v="R"/>
    <m/>
    <m/>
    <x v="1"/>
    <s v="L"/>
    <s v="B"/>
    <n v="1"/>
    <m/>
    <m/>
    <n v="-1"/>
    <n v="0.5"/>
    <s v="Left"/>
    <n v="2.5"/>
    <m/>
    <s v="Field"/>
    <m/>
    <s v="50-21"/>
  </r>
  <r>
    <n v="19"/>
    <x v="2"/>
    <n v="2"/>
    <n v="11"/>
    <n v="47"/>
    <n v="1"/>
    <s v="R"/>
    <m/>
    <m/>
    <x v="1"/>
    <s v="L"/>
    <s v="B"/>
    <n v="1"/>
    <m/>
    <m/>
    <n v="1"/>
    <n v="0.5"/>
    <s v="Left"/>
    <n v="2.5"/>
    <m/>
    <s v="Field"/>
    <m/>
    <s v="50-21"/>
  </r>
  <r>
    <n v="20"/>
    <x v="3"/>
    <n v="3"/>
    <n v="10"/>
    <n v="46"/>
    <n v="0"/>
    <s v="R"/>
    <m/>
    <m/>
    <x v="0"/>
    <s v="L"/>
    <m/>
    <n v="1"/>
    <n v="0"/>
    <m/>
    <n v="0"/>
    <n v="0.5"/>
    <s v="Left"/>
    <n v="2.5"/>
    <m/>
    <s v="Field"/>
    <m/>
    <s v="50-21"/>
  </r>
  <r>
    <n v="38"/>
    <x v="1"/>
    <n v="1"/>
    <n v="10"/>
    <n v="-28"/>
    <n v="2"/>
    <s v="M"/>
    <m/>
    <m/>
    <x v="1"/>
    <s v="L"/>
    <s v="B"/>
    <n v="1"/>
    <m/>
    <m/>
    <n v="2"/>
    <n v="0.5"/>
    <s v="Left"/>
    <n v="2.5"/>
    <m/>
    <s v=""/>
    <m/>
    <s v="21-49"/>
  </r>
  <r>
    <n v="39"/>
    <x v="2"/>
    <n v="2"/>
    <n v="8"/>
    <n v="-30"/>
    <n v="10"/>
    <s v="L"/>
    <m/>
    <m/>
    <x v="1"/>
    <s v="R"/>
    <s v="B"/>
    <n v="1"/>
    <m/>
    <m/>
    <n v="10"/>
    <n v="2.5"/>
    <s v="Right"/>
    <n v="2.5"/>
    <m/>
    <s v="Field"/>
    <m/>
    <s v="21-49"/>
  </r>
  <r>
    <n v="40"/>
    <x v="1"/>
    <n v="1"/>
    <n v="10"/>
    <n v="-40"/>
    <n v="5"/>
    <s v="R"/>
    <m/>
    <m/>
    <x v="1"/>
    <s v="L"/>
    <s v="B"/>
    <n v="1"/>
    <m/>
    <m/>
    <n v="5"/>
    <n v="0.5"/>
    <s v="Left"/>
    <n v="2.5"/>
    <m/>
    <s v="Field"/>
    <m/>
    <s v="21-49"/>
  </r>
  <r>
    <n v="42"/>
    <x v="2"/>
    <n v="2"/>
    <n v="12"/>
    <n v="-38"/>
    <n v="3"/>
    <s v="R"/>
    <m/>
    <m/>
    <x v="1"/>
    <s v="L"/>
    <s v="B"/>
    <n v="1"/>
    <m/>
    <m/>
    <n v="3"/>
    <n v="0.5"/>
    <s v="Left"/>
    <n v="2.5"/>
    <m/>
    <s v="Field"/>
    <m/>
    <s v="21-49"/>
  </r>
  <r>
    <n v="43"/>
    <x v="3"/>
    <n v="3"/>
    <n v="9"/>
    <n v="-41"/>
    <n v="0"/>
    <s v="R"/>
    <m/>
    <m/>
    <x v="0"/>
    <s v="L"/>
    <m/>
    <n v="1"/>
    <n v="0"/>
    <m/>
    <n v="0"/>
    <n v="0.5"/>
    <s v="Left"/>
    <n v="2.5"/>
    <m/>
    <s v="Field"/>
    <m/>
    <s v="21-49"/>
  </r>
  <r>
    <n v="61"/>
    <x v="1"/>
    <n v="1"/>
    <n v="5"/>
    <n v="-25"/>
    <n v="0"/>
    <s v="M"/>
    <m/>
    <m/>
    <x v="0"/>
    <s v="R"/>
    <m/>
    <n v="1"/>
    <n v="0"/>
    <m/>
    <n v="0"/>
    <n v="2.5"/>
    <s v="Right"/>
    <n v="2.5"/>
    <m/>
    <s v=""/>
    <m/>
    <s v="21-49"/>
  </r>
  <r>
    <n v="62"/>
    <x v="2"/>
    <n v="2"/>
    <n v="5"/>
    <n v="-25"/>
    <n v="0"/>
    <s v="M"/>
    <m/>
    <m/>
    <x v="0"/>
    <s v="R"/>
    <m/>
    <n v="1"/>
    <n v="0"/>
    <m/>
    <n v="0"/>
    <n v="2.5"/>
    <s v="Right"/>
    <n v="2.5"/>
    <m/>
    <s v=""/>
    <m/>
    <s v="21-49"/>
  </r>
  <r>
    <n v="69"/>
    <x v="1"/>
    <n v="1"/>
    <n v="10"/>
    <n v="-16"/>
    <n v="0"/>
    <s v="R"/>
    <m/>
    <m/>
    <x v="0"/>
    <s v="L"/>
    <m/>
    <n v="1"/>
    <n v="0"/>
    <m/>
    <n v="0"/>
    <n v="0.5"/>
    <s v="Left"/>
    <n v="2.5"/>
    <m/>
    <s v="Field"/>
    <m/>
    <s v="0-20"/>
  </r>
  <r>
    <n v="70"/>
    <x v="2"/>
    <n v="2"/>
    <n v="10"/>
    <n v="-16"/>
    <n v="3"/>
    <s v="R"/>
    <m/>
    <m/>
    <x v="1"/>
    <s v="L"/>
    <s v="B"/>
    <n v="1"/>
    <m/>
    <m/>
    <n v="3"/>
    <n v="0.5"/>
    <s v="Left"/>
    <n v="2.5"/>
    <m/>
    <s v="Field"/>
    <m/>
    <s v="0-20"/>
  </r>
  <r>
    <n v="72"/>
    <x v="3"/>
    <n v="3"/>
    <n v="2"/>
    <n v="-24"/>
    <n v="9"/>
    <s v="R"/>
    <m/>
    <m/>
    <x v="0"/>
    <s v="R"/>
    <m/>
    <n v="1"/>
    <n v="1"/>
    <s v="M"/>
    <n v="9"/>
    <n v="2.5"/>
    <s v="Right"/>
    <n v="1.5"/>
    <m/>
    <s v="Boundry"/>
    <m/>
    <s v="21-49"/>
  </r>
  <r>
    <n v="73"/>
    <x v="1"/>
    <n v="1"/>
    <n v="10"/>
    <n v="-33"/>
    <n v="0"/>
    <s v="R"/>
    <m/>
    <m/>
    <x v="0"/>
    <s v="R"/>
    <m/>
    <n v="1"/>
    <n v="0"/>
    <m/>
    <n v="0"/>
    <n v="2.5"/>
    <s v="Right"/>
    <n v="2.5"/>
    <m/>
    <s v="Boundry"/>
    <m/>
    <s v="21-49"/>
  </r>
  <r>
    <n v="74"/>
    <x v="2"/>
    <n v="2"/>
    <n v="10"/>
    <n v="-33"/>
    <n v="2"/>
    <s v="R"/>
    <m/>
    <m/>
    <x v="1"/>
    <s v="L"/>
    <s v="B"/>
    <n v="1"/>
    <m/>
    <m/>
    <n v="2"/>
    <n v="0.5"/>
    <s v="Left"/>
    <n v="2.5"/>
    <m/>
    <s v="Field"/>
    <m/>
    <s v="21-49"/>
  </r>
  <r>
    <n v="75"/>
    <x v="3"/>
    <n v="3"/>
    <n v="8"/>
    <n v="-35"/>
    <n v="0"/>
    <s v="L"/>
    <m/>
    <m/>
    <x v="1"/>
    <s v="R"/>
    <s v="B"/>
    <n v="1"/>
    <m/>
    <m/>
    <n v="0"/>
    <n v="2.5"/>
    <s v="Right"/>
    <n v="2.5"/>
    <m/>
    <s v="Field"/>
    <m/>
    <s v="21-49"/>
  </r>
  <r>
    <n v="100"/>
    <x v="1"/>
    <n v="1"/>
    <n v="10"/>
    <n v="-35"/>
    <n v="3"/>
    <s v="L"/>
    <m/>
    <m/>
    <x v="1"/>
    <s v="R"/>
    <s v="B"/>
    <n v="1"/>
    <m/>
    <m/>
    <n v="3"/>
    <n v="2.5"/>
    <s v="Right"/>
    <n v="2.5"/>
    <m/>
    <s v="Field"/>
    <m/>
    <s v="21-49"/>
  </r>
  <r>
    <n v="101"/>
    <x v="2"/>
    <n v="2"/>
    <n v="7"/>
    <n v="-38"/>
    <n v="0"/>
    <s v="R"/>
    <m/>
    <m/>
    <x v="0"/>
    <s v="L"/>
    <m/>
    <n v="1"/>
    <n v="0"/>
    <m/>
    <n v="0"/>
    <n v="0.5"/>
    <s v="Left"/>
    <n v="2.5"/>
    <m/>
    <s v="Field"/>
    <m/>
    <s v="21-49"/>
  </r>
  <r>
    <n v="102"/>
    <x v="3"/>
    <n v="3"/>
    <n v="7"/>
    <n v="-38"/>
    <n v="10"/>
    <s v="R"/>
    <m/>
    <m/>
    <x v="1"/>
    <s v="R"/>
    <s v="C"/>
    <n v="1"/>
    <m/>
    <m/>
    <n v="10"/>
    <n v="2.5"/>
    <s v="Right"/>
    <n v="2.5"/>
    <m/>
    <s v="Boundry"/>
    <m/>
    <s v="21-49"/>
  </r>
  <r>
    <n v="103"/>
    <x v="1"/>
    <n v="1"/>
    <n v="10"/>
    <n v="-48"/>
    <n v="0"/>
    <s v="R"/>
    <m/>
    <m/>
    <x v="0"/>
    <s v="L"/>
    <m/>
    <n v="1"/>
    <n v="0"/>
    <m/>
    <n v="0"/>
    <n v="0.5"/>
    <s v="Left"/>
    <n v="2.5"/>
    <m/>
    <s v="Field"/>
    <m/>
    <s v="21-49"/>
  </r>
  <r>
    <n v="104"/>
    <x v="2"/>
    <n v="2"/>
    <n v="10"/>
    <n v="-48"/>
    <n v="4"/>
    <s v="R"/>
    <m/>
    <m/>
    <x v="1"/>
    <s v="R"/>
    <s v="B"/>
    <n v="1"/>
    <m/>
    <m/>
    <n v="4"/>
    <n v="2.5"/>
    <s v="Right"/>
    <n v="2.5"/>
    <m/>
    <s v="Boundry"/>
    <m/>
    <s v="21-49"/>
  </r>
  <r>
    <n v="105"/>
    <x v="3"/>
    <n v="3"/>
    <n v="6"/>
    <n v="48"/>
    <n v="8"/>
    <s v="R"/>
    <m/>
    <m/>
    <x v="0"/>
    <s v="L"/>
    <m/>
    <n v="1"/>
    <n v="1"/>
    <s v="M"/>
    <n v="8"/>
    <n v="0.5"/>
    <s v="Left"/>
    <n v="1.5"/>
    <m/>
    <s v="Field"/>
    <m/>
    <s v="50-21"/>
  </r>
  <r>
    <n v="107"/>
    <x v="2"/>
    <n v="2"/>
    <n v="10"/>
    <n v="40"/>
    <n v="0"/>
    <s v="R"/>
    <m/>
    <m/>
    <x v="0"/>
    <s v="R"/>
    <m/>
    <n v="1"/>
    <n v="0"/>
    <m/>
    <n v="0"/>
    <n v="2.5"/>
    <s v="Right"/>
    <n v="2.5"/>
    <m/>
    <s v="Boundry"/>
    <m/>
    <s v="50-21"/>
  </r>
  <r>
    <n v="108"/>
    <x v="3"/>
    <n v="3"/>
    <n v="10"/>
    <n v="40"/>
    <n v="-4"/>
    <s v="R"/>
    <m/>
    <m/>
    <x v="0"/>
    <s v="L"/>
    <m/>
    <n v="1"/>
    <n v="1"/>
    <s v="S"/>
    <n v="-4"/>
    <n v="0.5"/>
    <s v="Left"/>
    <n v="0.5"/>
    <m/>
    <s v="Field"/>
    <m/>
    <s v="50-21"/>
  </r>
  <r>
    <n v="115"/>
    <x v="1"/>
    <n v="1"/>
    <n v="10"/>
    <n v="-10"/>
    <n v="0"/>
    <s v="R"/>
    <m/>
    <m/>
    <x v="0"/>
    <s v="L"/>
    <m/>
    <n v="1"/>
    <n v="1"/>
    <s v="S"/>
    <n v="0"/>
    <n v="0.5"/>
    <s v="Left"/>
    <n v="0.5"/>
    <m/>
    <s v="Field"/>
    <m/>
    <s v="0-20"/>
  </r>
  <r>
    <n v="117"/>
    <x v="2"/>
    <n v="2"/>
    <n v="15"/>
    <n v="-5"/>
    <n v="2"/>
    <s v="R"/>
    <m/>
    <m/>
    <x v="0"/>
    <s v="L"/>
    <m/>
    <n v="1"/>
    <n v="1"/>
    <s v="S"/>
    <n v="2"/>
    <n v="0.5"/>
    <s v="Left"/>
    <n v="0.5"/>
    <m/>
    <s v="Field"/>
    <m/>
    <s v="0-20"/>
  </r>
  <r>
    <n v="118"/>
    <x v="3"/>
    <n v="3"/>
    <n v="13"/>
    <n v="-7"/>
    <n v="-6"/>
    <s v="L"/>
    <m/>
    <m/>
    <x v="0"/>
    <s v="M"/>
    <m/>
    <n v="1"/>
    <n v="0"/>
    <s v="S"/>
    <n v="-6"/>
    <n v="1.5"/>
    <s v="Middle"/>
    <n v="0.5"/>
    <m/>
    <s v=""/>
    <m/>
    <s v="0-20"/>
  </r>
  <r>
    <n v="126"/>
    <x v="1"/>
    <n v="1"/>
    <n v="10"/>
    <n v="-35"/>
    <n v="0"/>
    <s v="M"/>
    <m/>
    <m/>
    <x v="1"/>
    <s v="R"/>
    <s v="B"/>
    <n v="1"/>
    <m/>
    <m/>
    <n v="0"/>
    <n v="2.5"/>
    <s v="Right"/>
    <n v="2.5"/>
    <m/>
    <s v=""/>
    <m/>
    <s v="21-49"/>
  </r>
  <r>
    <n v="127"/>
    <x v="2"/>
    <n v="2"/>
    <n v="10"/>
    <n v="-35"/>
    <n v="-5"/>
    <s v="R"/>
    <m/>
    <m/>
    <x v="0"/>
    <s v="M"/>
    <m/>
    <n v="1"/>
    <n v="0"/>
    <s v="S"/>
    <n v="-5"/>
    <n v="1.5"/>
    <s v="Middle"/>
    <n v="0.5"/>
    <m/>
    <s v=""/>
    <m/>
    <s v="21-49"/>
  </r>
  <r>
    <n v="128"/>
    <x v="3"/>
    <n v="3"/>
    <n v="15"/>
    <n v="-30"/>
    <n v="0"/>
    <s v="M"/>
    <m/>
    <m/>
    <x v="0"/>
    <s v="R"/>
    <m/>
    <n v="1"/>
    <n v="0"/>
    <m/>
    <n v="0"/>
    <n v="2.5"/>
    <s v="Right"/>
    <n v="2.5"/>
    <m/>
    <s v=""/>
    <m/>
    <s v="21-49"/>
  </r>
  <r>
    <n v="136"/>
    <x v="1"/>
    <n v="1"/>
    <n v="10"/>
    <n v="-23"/>
    <n v="15"/>
    <s v="R"/>
    <m/>
    <m/>
    <x v="1"/>
    <s v="R"/>
    <s v="B"/>
    <n v="1"/>
    <m/>
    <m/>
    <n v="15"/>
    <n v="2.5"/>
    <s v="Right"/>
    <n v="2.5"/>
    <m/>
    <s v="Boundry"/>
    <m/>
    <s v="21-49"/>
  </r>
  <r>
    <n v="137"/>
    <x v="1"/>
    <n v="1"/>
    <n v="10"/>
    <n v="-38"/>
    <n v="6"/>
    <s v="R"/>
    <m/>
    <m/>
    <x v="1"/>
    <s v="R"/>
    <s v="B"/>
    <n v="1"/>
    <m/>
    <m/>
    <n v="6"/>
    <n v="2.5"/>
    <s v="Right"/>
    <n v="2.5"/>
    <m/>
    <s v="Boundry"/>
    <m/>
    <s v="21-49"/>
  </r>
  <r>
    <n v="138"/>
    <x v="2"/>
    <n v="2"/>
    <n v="4"/>
    <n v="-44"/>
    <n v="4"/>
    <s v="R"/>
    <m/>
    <m/>
    <x v="1"/>
    <s v="L"/>
    <s v="B"/>
    <n v="1"/>
    <m/>
    <m/>
    <n v="4"/>
    <n v="0.5"/>
    <s v="Left"/>
    <n v="2.5"/>
    <m/>
    <s v="Field"/>
    <m/>
    <s v="21-49"/>
  </r>
  <r>
    <n v="139"/>
    <x v="1"/>
    <n v="1"/>
    <n v="10"/>
    <n v="-48"/>
    <n v="0"/>
    <s v="R"/>
    <m/>
    <m/>
    <x v="1"/>
    <s v="L"/>
    <s v="B"/>
    <n v="1"/>
    <m/>
    <m/>
    <n v="0"/>
    <n v="0.5"/>
    <s v="Left"/>
    <n v="2.5"/>
    <m/>
    <s v="Field"/>
    <m/>
    <s v="21-49"/>
  </r>
  <r>
    <n v="140"/>
    <x v="2"/>
    <n v="2"/>
    <n v="10"/>
    <n v="-48"/>
    <n v="0"/>
    <s v="R"/>
    <m/>
    <m/>
    <x v="0"/>
    <s v="L"/>
    <m/>
    <n v="1"/>
    <n v="1"/>
    <s v="S"/>
    <n v="0"/>
    <n v="0.5"/>
    <s v="Left"/>
    <n v="0.5"/>
    <m/>
    <s v="Field"/>
    <m/>
    <s v="21-49"/>
  </r>
  <r>
    <n v="141"/>
    <x v="3"/>
    <n v="3"/>
    <n v="10"/>
    <n v="-48"/>
    <n v="3"/>
    <s v="L"/>
    <m/>
    <m/>
    <x v="0"/>
    <s v="R"/>
    <m/>
    <n v="1"/>
    <n v="1"/>
    <s v="S"/>
    <n v="3"/>
    <n v="2.5"/>
    <s v="Right"/>
    <n v="0.5"/>
    <m/>
    <s v="Field"/>
    <m/>
    <s v="21-49"/>
  </r>
  <r>
    <n v="142"/>
    <x v="4"/>
    <n v="4"/>
    <n v="7"/>
    <n v="49"/>
    <n v="0"/>
    <s v="R"/>
    <m/>
    <m/>
    <x v="0"/>
    <s v="L"/>
    <m/>
    <n v="1"/>
    <n v="1"/>
    <s v="S"/>
    <n v="0"/>
    <n v="0.5"/>
    <s v="Left"/>
    <n v="0.5"/>
    <m/>
    <s v="Field"/>
    <m/>
    <s v="50-21"/>
  </r>
  <r>
    <n v="147"/>
    <x v="1"/>
    <n v="1"/>
    <n v="10"/>
    <n v="-24"/>
    <n v="0"/>
    <s v="M"/>
    <m/>
    <m/>
    <x v="0"/>
    <s v="L"/>
    <m/>
    <n v="1"/>
    <n v="0"/>
    <m/>
    <n v="0"/>
    <n v="0.5"/>
    <s v="Left"/>
    <n v="2.5"/>
    <m/>
    <s v=""/>
    <m/>
    <s v="21-49"/>
  </r>
  <r>
    <n v="151"/>
    <x v="1"/>
    <n v="1"/>
    <n v="10"/>
    <n v="-26"/>
    <n v="1"/>
    <s v="R"/>
    <m/>
    <m/>
    <x v="1"/>
    <s v="L"/>
    <s v="B"/>
    <n v="1"/>
    <m/>
    <m/>
    <n v="1"/>
    <n v="0.5"/>
    <s v="Left"/>
    <n v="2.5"/>
    <m/>
    <s v="Field"/>
    <m/>
    <s v="21-49"/>
  </r>
  <r>
    <n v="152"/>
    <x v="2"/>
    <n v="2"/>
    <n v="9"/>
    <n v="-27"/>
    <n v="-1"/>
    <s v="L"/>
    <m/>
    <m/>
    <x v="0"/>
    <s v="M"/>
    <m/>
    <n v="1"/>
    <n v="0"/>
    <s v="S"/>
    <n v="-1"/>
    <n v="1.5"/>
    <s v="Middle"/>
    <n v="0.5"/>
    <m/>
    <s v=""/>
    <m/>
    <s v="21-49"/>
  </r>
  <r>
    <n v="154"/>
    <x v="3"/>
    <n v="3"/>
    <n v="10"/>
    <n v="-26"/>
    <n v="3"/>
    <s v="R"/>
    <m/>
    <m/>
    <x v="0"/>
    <s v="L"/>
    <m/>
    <n v="1"/>
    <n v="1"/>
    <s v="S"/>
    <n v="3"/>
    <n v="0.5"/>
    <s v="Left"/>
    <n v="0.5"/>
    <m/>
    <s v="Field"/>
    <m/>
    <s v="21-49"/>
  </r>
  <r>
    <n v="166"/>
    <x v="1"/>
    <n v="1"/>
    <n v="10"/>
    <n v="-35"/>
    <n v="0"/>
    <s v="M"/>
    <m/>
    <m/>
    <x v="0"/>
    <s v="L"/>
    <m/>
    <n v="1"/>
    <n v="0"/>
    <m/>
    <n v="0"/>
    <n v="0.5"/>
    <s v="Left"/>
    <n v="2.5"/>
    <m/>
    <s v=""/>
    <m/>
    <s v="21-49"/>
  </r>
  <r>
    <n v="167"/>
    <x v="2"/>
    <n v="2"/>
    <n v="10"/>
    <n v="-35"/>
    <n v="-1"/>
    <s v="M"/>
    <m/>
    <m/>
    <x v="0"/>
    <s v="M"/>
    <m/>
    <n v="1"/>
    <n v="0"/>
    <s v="S"/>
    <n v="-1"/>
    <n v="1.5"/>
    <s v="Middle"/>
    <n v="0.5"/>
    <m/>
    <s v=""/>
    <m/>
    <s v="21-49"/>
  </r>
  <r>
    <n v="168"/>
    <x v="3"/>
    <n v="3"/>
    <n v="11"/>
    <n v="-34"/>
    <n v="0"/>
    <s v="R"/>
    <m/>
    <m/>
    <x v="0"/>
    <s v="R"/>
    <m/>
    <n v="1"/>
    <n v="0"/>
    <m/>
    <n v="0"/>
    <n v="2.5"/>
    <s v="Right"/>
    <n v="2.5"/>
    <m/>
    <s v="Boundry"/>
    <m/>
    <s v="21-4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1">
  <r>
    <m/>
    <x v="0"/>
    <x v="0"/>
    <m/>
    <m/>
    <n v="0"/>
    <m/>
    <x v="0"/>
    <m/>
    <x v="0"/>
    <x v="0"/>
    <x v="0"/>
    <n v="0"/>
    <n v="0"/>
    <x v="0"/>
    <n v="0"/>
    <n v="2.5"/>
    <s v="Right"/>
    <n v="0.5"/>
    <x v="0"/>
    <x v="0"/>
    <x v="0"/>
    <x v="0"/>
  </r>
  <r>
    <m/>
    <x v="0"/>
    <x v="0"/>
    <m/>
    <m/>
    <n v="0"/>
    <m/>
    <x v="0"/>
    <m/>
    <x v="0"/>
    <x v="0"/>
    <x v="0"/>
    <n v="0"/>
    <n v="0"/>
    <x v="1"/>
    <n v="0"/>
    <n v="2.5"/>
    <s v="Right"/>
    <n v="1.5"/>
    <x v="0"/>
    <x v="0"/>
    <x v="0"/>
    <x v="0"/>
  </r>
  <r>
    <m/>
    <x v="0"/>
    <x v="0"/>
    <m/>
    <m/>
    <n v="0"/>
    <m/>
    <x v="0"/>
    <m/>
    <x v="0"/>
    <x v="0"/>
    <x v="0"/>
    <n v="0"/>
    <n v="0"/>
    <x v="2"/>
    <n v="0"/>
    <n v="2.5"/>
    <s v="Right"/>
    <n v="2.5"/>
    <x v="0"/>
    <x v="0"/>
    <x v="0"/>
    <x v="0"/>
  </r>
  <r>
    <m/>
    <x v="0"/>
    <x v="0"/>
    <m/>
    <m/>
    <n v="0"/>
    <m/>
    <x v="0"/>
    <m/>
    <x v="0"/>
    <x v="1"/>
    <x v="0"/>
    <n v="0"/>
    <n v="0"/>
    <x v="0"/>
    <n v="0"/>
    <n v="0.5"/>
    <s v="Left"/>
    <n v="0.5"/>
    <x v="0"/>
    <x v="0"/>
    <x v="0"/>
    <x v="0"/>
  </r>
  <r>
    <m/>
    <x v="0"/>
    <x v="0"/>
    <m/>
    <m/>
    <n v="0"/>
    <m/>
    <x v="0"/>
    <m/>
    <x v="0"/>
    <x v="1"/>
    <x v="0"/>
    <n v="0"/>
    <n v="0"/>
    <x v="1"/>
    <n v="0"/>
    <n v="0.5"/>
    <s v="Left"/>
    <n v="1.5"/>
    <x v="0"/>
    <x v="0"/>
    <x v="0"/>
    <x v="0"/>
  </r>
  <r>
    <m/>
    <x v="0"/>
    <x v="0"/>
    <m/>
    <m/>
    <n v="0"/>
    <m/>
    <x v="0"/>
    <m/>
    <x v="0"/>
    <x v="1"/>
    <x v="0"/>
    <n v="0"/>
    <n v="0"/>
    <x v="2"/>
    <n v="0"/>
    <n v="0.5"/>
    <s v="Left"/>
    <n v="2.5"/>
    <x v="0"/>
    <x v="0"/>
    <x v="0"/>
    <x v="0"/>
  </r>
  <r>
    <m/>
    <x v="0"/>
    <x v="0"/>
    <m/>
    <m/>
    <n v="0"/>
    <m/>
    <x v="0"/>
    <m/>
    <x v="0"/>
    <x v="2"/>
    <x v="0"/>
    <n v="0"/>
    <n v="0"/>
    <x v="0"/>
    <n v="0"/>
    <n v="1.5"/>
    <s v="Middle"/>
    <n v="0.5"/>
    <x v="0"/>
    <x v="0"/>
    <x v="0"/>
    <x v="0"/>
  </r>
  <r>
    <m/>
    <x v="0"/>
    <x v="0"/>
    <m/>
    <m/>
    <n v="0"/>
    <m/>
    <x v="0"/>
    <m/>
    <x v="0"/>
    <x v="2"/>
    <x v="0"/>
    <n v="0"/>
    <n v="0"/>
    <x v="1"/>
    <n v="0"/>
    <n v="1.5"/>
    <s v="Middle"/>
    <n v="1.5"/>
    <x v="0"/>
    <x v="0"/>
    <x v="0"/>
    <x v="0"/>
  </r>
  <r>
    <m/>
    <x v="0"/>
    <x v="0"/>
    <m/>
    <m/>
    <n v="0"/>
    <m/>
    <x v="0"/>
    <m/>
    <x v="0"/>
    <x v="2"/>
    <x v="0"/>
    <n v="0"/>
    <n v="0"/>
    <x v="0"/>
    <n v="0"/>
    <n v="1.5"/>
    <s v="Middle"/>
    <n v="0.5"/>
    <x v="0"/>
    <x v="0"/>
    <x v="0"/>
    <x v="0"/>
  </r>
  <r>
    <m/>
    <x v="0"/>
    <x v="0"/>
    <m/>
    <m/>
    <n v="0"/>
    <m/>
    <x v="0"/>
    <m/>
    <x v="1"/>
    <x v="0"/>
    <x v="1"/>
    <n v="0"/>
    <n v="0"/>
    <x v="3"/>
    <n v="0"/>
    <n v="2.5"/>
    <s v="Right"/>
    <n v="2.5"/>
    <x v="0"/>
    <x v="0"/>
    <x v="0"/>
    <x v="0"/>
  </r>
  <r>
    <m/>
    <x v="0"/>
    <x v="0"/>
    <m/>
    <m/>
    <n v="0"/>
    <m/>
    <x v="0"/>
    <m/>
    <x v="1"/>
    <x v="0"/>
    <x v="2"/>
    <n v="0"/>
    <n v="0"/>
    <x v="3"/>
    <n v="0"/>
    <n v="2.5"/>
    <s v="Right"/>
    <n v="2.5"/>
    <x v="0"/>
    <x v="0"/>
    <x v="0"/>
    <x v="0"/>
  </r>
  <r>
    <m/>
    <x v="0"/>
    <x v="0"/>
    <m/>
    <m/>
    <n v="0"/>
    <m/>
    <x v="0"/>
    <m/>
    <x v="1"/>
    <x v="0"/>
    <x v="3"/>
    <n v="0"/>
    <n v="0"/>
    <x v="3"/>
    <n v="0"/>
    <n v="2.5"/>
    <s v="Right"/>
    <n v="2.5"/>
    <x v="0"/>
    <x v="0"/>
    <x v="0"/>
    <x v="0"/>
  </r>
  <r>
    <m/>
    <x v="0"/>
    <x v="0"/>
    <m/>
    <m/>
    <n v="0"/>
    <m/>
    <x v="0"/>
    <m/>
    <x v="1"/>
    <x v="1"/>
    <x v="1"/>
    <n v="0"/>
    <n v="0"/>
    <x v="3"/>
    <n v="0"/>
    <n v="0.5"/>
    <s v="Left"/>
    <n v="2.5"/>
    <x v="0"/>
    <x v="0"/>
    <x v="0"/>
    <x v="0"/>
  </r>
  <r>
    <m/>
    <x v="0"/>
    <x v="0"/>
    <m/>
    <m/>
    <n v="0"/>
    <m/>
    <x v="0"/>
    <m/>
    <x v="1"/>
    <x v="1"/>
    <x v="2"/>
    <n v="0"/>
    <n v="0"/>
    <x v="3"/>
    <n v="0"/>
    <n v="0.5"/>
    <s v="Left"/>
    <n v="2.5"/>
    <x v="0"/>
    <x v="0"/>
    <x v="0"/>
    <x v="0"/>
  </r>
  <r>
    <m/>
    <x v="0"/>
    <x v="0"/>
    <m/>
    <m/>
    <n v="-65"/>
    <m/>
    <x v="0"/>
    <m/>
    <x v="1"/>
    <x v="1"/>
    <x v="3"/>
    <n v="0"/>
    <n v="0"/>
    <x v="3"/>
    <n v="0"/>
    <n v="0.5"/>
    <s v="Left"/>
    <n v="2.5"/>
    <x v="0"/>
    <x v="0"/>
    <x v="0"/>
    <x v="0"/>
  </r>
  <r>
    <n v="3"/>
    <x v="1"/>
    <x v="1"/>
    <n v="10"/>
    <n v="-35"/>
    <n v="-4"/>
    <s v="M"/>
    <x v="0"/>
    <m/>
    <x v="0"/>
    <x v="2"/>
    <x v="0"/>
    <n v="1"/>
    <n v="0"/>
    <x v="0"/>
    <n v="-4"/>
    <n v="1.5"/>
    <s v="Middle"/>
    <n v="0.5"/>
    <x v="0"/>
    <x v="0"/>
    <x v="1"/>
    <x v="1"/>
  </r>
  <r>
    <n v="5"/>
    <x v="2"/>
    <x v="2"/>
    <n v="9"/>
    <n v="-36"/>
    <n v="0"/>
    <s v="M"/>
    <x v="0"/>
    <m/>
    <x v="0"/>
    <x v="2"/>
    <x v="0"/>
    <n v="1"/>
    <n v="0"/>
    <x v="0"/>
    <n v="0"/>
    <n v="1.5"/>
    <s v="Middle"/>
    <n v="0.5"/>
    <x v="0"/>
    <x v="0"/>
    <x v="2"/>
    <x v="1"/>
  </r>
  <r>
    <n v="6"/>
    <x v="3"/>
    <x v="3"/>
    <n v="9"/>
    <n v="-36"/>
    <n v="13"/>
    <s v="M"/>
    <x v="0"/>
    <m/>
    <x v="1"/>
    <x v="1"/>
    <x v="3"/>
    <n v="1"/>
    <m/>
    <x v="3"/>
    <n v="13"/>
    <n v="0.5"/>
    <s v="Left"/>
    <n v="2.5"/>
    <x v="0"/>
    <x v="0"/>
    <x v="3"/>
    <x v="1"/>
  </r>
  <r>
    <n v="8"/>
    <x v="2"/>
    <x v="2"/>
    <n v="23"/>
    <n v="-36"/>
    <n v="1"/>
    <s v="R"/>
    <x v="0"/>
    <m/>
    <x v="1"/>
    <x v="1"/>
    <x v="2"/>
    <n v="1"/>
    <m/>
    <x v="3"/>
    <n v="1"/>
    <n v="0.5"/>
    <s v="Left"/>
    <n v="2.5"/>
    <x v="0"/>
    <x v="1"/>
    <x v="2"/>
    <x v="1"/>
  </r>
  <r>
    <n v="9"/>
    <x v="3"/>
    <x v="3"/>
    <n v="22"/>
    <n v="-37"/>
    <n v="0"/>
    <s v="L"/>
    <x v="0"/>
    <m/>
    <x v="1"/>
    <x v="0"/>
    <x v="2"/>
    <n v="1"/>
    <m/>
    <x v="3"/>
    <n v="0"/>
    <n v="2.5"/>
    <s v="Right"/>
    <n v="2.5"/>
    <x v="0"/>
    <x v="1"/>
    <x v="3"/>
    <x v="1"/>
  </r>
  <r>
    <n v="18"/>
    <x v="1"/>
    <x v="1"/>
    <n v="10"/>
    <n v="36"/>
    <n v="5"/>
    <s v="R"/>
    <x v="0"/>
    <m/>
    <x v="1"/>
    <x v="0"/>
    <x v="2"/>
    <n v="1"/>
    <m/>
    <x v="3"/>
    <n v="5"/>
    <n v="2.5"/>
    <s v="Right"/>
    <n v="2.5"/>
    <x v="0"/>
    <x v="2"/>
    <x v="1"/>
    <x v="2"/>
  </r>
  <r>
    <n v="19"/>
    <x v="2"/>
    <x v="2"/>
    <n v="5"/>
    <n v="31"/>
    <n v="2"/>
    <s v="R"/>
    <x v="0"/>
    <m/>
    <x v="1"/>
    <x v="1"/>
    <x v="2"/>
    <n v="1"/>
    <m/>
    <x v="3"/>
    <n v="2"/>
    <n v="0.5"/>
    <s v="Left"/>
    <n v="2.5"/>
    <x v="0"/>
    <x v="1"/>
    <x v="4"/>
    <x v="2"/>
  </r>
  <r>
    <n v="20"/>
    <x v="3"/>
    <x v="3"/>
    <n v="3"/>
    <n v="29"/>
    <n v="0"/>
    <s v="M"/>
    <x v="0"/>
    <m/>
    <x v="1"/>
    <x v="0"/>
    <x v="2"/>
    <n v="1"/>
    <m/>
    <x v="3"/>
    <n v="0"/>
    <n v="2.5"/>
    <s v="Right"/>
    <n v="2.5"/>
    <x v="0"/>
    <x v="0"/>
    <x v="5"/>
    <x v="2"/>
  </r>
  <r>
    <n v="28"/>
    <x v="1"/>
    <x v="1"/>
    <n v="10"/>
    <n v="-5"/>
    <n v="0"/>
    <s v="M"/>
    <x v="0"/>
    <m/>
    <x v="0"/>
    <x v="1"/>
    <x v="0"/>
    <n v="1"/>
    <n v="0"/>
    <x v="3"/>
    <n v="0"/>
    <n v="0.5"/>
    <s v="Left"/>
    <n v="2.5"/>
    <x v="0"/>
    <x v="0"/>
    <x v="1"/>
    <x v="3"/>
  </r>
  <r>
    <n v="29"/>
    <x v="2"/>
    <x v="2"/>
    <n v="10"/>
    <n v="-5"/>
    <n v="1"/>
    <s v="M"/>
    <x v="0"/>
    <m/>
    <x v="1"/>
    <x v="1"/>
    <x v="2"/>
    <n v="1"/>
    <m/>
    <x v="3"/>
    <n v="1"/>
    <n v="0.5"/>
    <s v="Left"/>
    <n v="2.5"/>
    <x v="0"/>
    <x v="0"/>
    <x v="2"/>
    <x v="3"/>
  </r>
  <r>
    <n v="30"/>
    <x v="3"/>
    <x v="3"/>
    <n v="9"/>
    <n v="-6"/>
    <n v="0"/>
    <s v="L"/>
    <x v="0"/>
    <m/>
    <x v="1"/>
    <x v="0"/>
    <x v="2"/>
    <n v="1"/>
    <m/>
    <x v="3"/>
    <n v="0"/>
    <n v="2.5"/>
    <s v="Right"/>
    <n v="2.5"/>
    <x v="0"/>
    <x v="1"/>
    <x v="3"/>
    <x v="3"/>
  </r>
  <r>
    <n v="38"/>
    <x v="1"/>
    <x v="1"/>
    <n v="10"/>
    <n v="-48"/>
    <n v="3"/>
    <s v="M"/>
    <x v="0"/>
    <m/>
    <x v="1"/>
    <x v="0"/>
    <x v="2"/>
    <n v="1"/>
    <m/>
    <x v="3"/>
    <n v="3"/>
    <n v="2.5"/>
    <s v="Right"/>
    <n v="2.5"/>
    <x v="0"/>
    <x v="0"/>
    <x v="1"/>
    <x v="1"/>
  </r>
  <r>
    <n v="44"/>
    <x v="1"/>
    <x v="1"/>
    <n v="10"/>
    <n v="10"/>
    <n v="0"/>
    <s v="L"/>
    <x v="0"/>
    <m/>
    <x v="1"/>
    <x v="0"/>
    <x v="2"/>
    <n v="1"/>
    <m/>
    <x v="3"/>
    <n v="0"/>
    <n v="2.5"/>
    <s v="Right"/>
    <n v="2.5"/>
    <x v="0"/>
    <x v="1"/>
    <x v="1"/>
    <x v="4"/>
  </r>
  <r>
    <n v="45"/>
    <x v="2"/>
    <x v="2"/>
    <n v="10"/>
    <n v="10"/>
    <n v="5"/>
    <s v="L"/>
    <x v="0"/>
    <m/>
    <x v="1"/>
    <x v="0"/>
    <x v="2"/>
    <n v="1"/>
    <m/>
    <x v="3"/>
    <n v="5"/>
    <n v="2.5"/>
    <s v="Right"/>
    <n v="2.5"/>
    <x v="0"/>
    <x v="1"/>
    <x v="2"/>
    <x v="4"/>
  </r>
  <r>
    <n v="47"/>
    <x v="3"/>
    <x v="3"/>
    <n v="5"/>
    <n v="5"/>
    <n v="5"/>
    <s v="R"/>
    <x v="0"/>
    <m/>
    <x v="1"/>
    <x v="0"/>
    <x v="2"/>
    <n v="1"/>
    <m/>
    <x v="3"/>
    <n v="5"/>
    <n v="2.5"/>
    <s v="Right"/>
    <n v="2.5"/>
    <x v="0"/>
    <x v="2"/>
    <x v="6"/>
    <x v="4"/>
  </r>
  <r>
    <n v="57"/>
    <x v="1"/>
    <x v="1"/>
    <n v="10"/>
    <n v="-10"/>
    <n v="0"/>
    <s v="L"/>
    <x v="0"/>
    <m/>
    <x v="1"/>
    <x v="0"/>
    <x v="2"/>
    <n v="1"/>
    <m/>
    <x v="3"/>
    <n v="0"/>
    <n v="2.5"/>
    <s v="Right"/>
    <n v="2.5"/>
    <x v="0"/>
    <x v="1"/>
    <x v="1"/>
    <x v="3"/>
  </r>
  <r>
    <n v="58"/>
    <x v="2"/>
    <x v="2"/>
    <n v="10"/>
    <n v="-10"/>
    <n v="2"/>
    <s v="R"/>
    <x v="0"/>
    <m/>
    <x v="1"/>
    <x v="0"/>
    <x v="2"/>
    <n v="1"/>
    <m/>
    <x v="3"/>
    <n v="2"/>
    <n v="2.5"/>
    <s v="Right"/>
    <n v="2.5"/>
    <x v="0"/>
    <x v="2"/>
    <x v="2"/>
    <x v="3"/>
  </r>
  <r>
    <n v="59"/>
    <x v="3"/>
    <x v="3"/>
    <n v="8"/>
    <n v="-12"/>
    <n v="-9"/>
    <s v="R"/>
    <x v="0"/>
    <m/>
    <x v="0"/>
    <x v="2"/>
    <x v="0"/>
    <n v="1"/>
    <n v="0"/>
    <x v="0"/>
    <n v="-9"/>
    <n v="1.5"/>
    <s v="Middle"/>
    <n v="0.5"/>
    <x v="0"/>
    <x v="0"/>
    <x v="3"/>
    <x v="3"/>
  </r>
  <r>
    <n v="63"/>
    <x v="1"/>
    <x v="1"/>
    <n v="10"/>
    <n v="-2"/>
    <n v="0"/>
    <s v="L"/>
    <x v="0"/>
    <m/>
    <x v="1"/>
    <x v="0"/>
    <x v="2"/>
    <n v="1"/>
    <m/>
    <x v="3"/>
    <n v="0"/>
    <n v="2.5"/>
    <s v="Right"/>
    <n v="2.5"/>
    <x v="0"/>
    <x v="1"/>
    <x v="1"/>
    <x v="3"/>
  </r>
  <r>
    <n v="64"/>
    <x v="2"/>
    <x v="2"/>
    <n v="10"/>
    <n v="-2"/>
    <n v="0"/>
    <s v="M"/>
    <x v="0"/>
    <m/>
    <x v="0"/>
    <x v="0"/>
    <x v="0"/>
    <n v="1"/>
    <n v="0"/>
    <x v="3"/>
    <n v="0"/>
    <n v="2.5"/>
    <s v="Right"/>
    <n v="2.5"/>
    <x v="0"/>
    <x v="0"/>
    <x v="2"/>
    <x v="3"/>
  </r>
  <r>
    <n v="71"/>
    <x v="1"/>
    <x v="1"/>
    <n v="10"/>
    <n v="23"/>
    <n v="0"/>
    <s v="L"/>
    <x v="0"/>
    <m/>
    <x v="0"/>
    <x v="0"/>
    <x v="0"/>
    <n v="1"/>
    <n v="0"/>
    <x v="3"/>
    <n v="0"/>
    <n v="2.5"/>
    <s v="Right"/>
    <n v="2.5"/>
    <x v="0"/>
    <x v="1"/>
    <x v="1"/>
    <x v="2"/>
  </r>
  <r>
    <n v="72"/>
    <x v="2"/>
    <x v="2"/>
    <n v="10"/>
    <n v="23"/>
    <n v="-6"/>
    <s v="L"/>
    <x v="0"/>
    <m/>
    <x v="1"/>
    <x v="0"/>
    <x v="2"/>
    <n v="1"/>
    <m/>
    <x v="3"/>
    <n v="-6"/>
    <n v="2.5"/>
    <s v="Right"/>
    <n v="2.5"/>
    <x v="0"/>
    <x v="1"/>
    <x v="2"/>
    <x v="2"/>
  </r>
  <r>
    <n v="73"/>
    <x v="3"/>
    <x v="3"/>
    <n v="16"/>
    <n v="29"/>
    <n v="21"/>
    <s v="M"/>
    <x v="0"/>
    <m/>
    <x v="0"/>
    <x v="0"/>
    <x v="0"/>
    <n v="1"/>
    <n v="1"/>
    <x v="2"/>
    <n v="21"/>
    <n v="2.5"/>
    <s v="Right"/>
    <n v="2.5"/>
    <x v="0"/>
    <x v="0"/>
    <x v="3"/>
    <x v="2"/>
  </r>
  <r>
    <n v="76"/>
    <x v="1"/>
    <x v="1"/>
    <n v="10"/>
    <n v="20"/>
    <n v="1"/>
    <s v="L"/>
    <x v="0"/>
    <m/>
    <x v="1"/>
    <x v="1"/>
    <x v="2"/>
    <n v="1"/>
    <m/>
    <x v="3"/>
    <n v="1"/>
    <n v="0.5"/>
    <s v="Left"/>
    <n v="2.5"/>
    <x v="0"/>
    <x v="2"/>
    <x v="1"/>
    <x v="4"/>
  </r>
  <r>
    <n v="77"/>
    <x v="2"/>
    <x v="2"/>
    <n v="9"/>
    <n v="19"/>
    <n v="19"/>
    <s v="L"/>
    <x v="0"/>
    <m/>
    <x v="1"/>
    <x v="1"/>
    <x v="2"/>
    <n v="1"/>
    <m/>
    <x v="3"/>
    <n v="19"/>
    <n v="0.5"/>
    <s v="Left"/>
    <n v="2.5"/>
    <x v="0"/>
    <x v="2"/>
    <x v="2"/>
    <x v="4"/>
  </r>
  <r>
    <n v="85"/>
    <x v="1"/>
    <x v="1"/>
    <n v="10"/>
    <n v="-28"/>
    <n v="16"/>
    <s v="R"/>
    <x v="0"/>
    <m/>
    <x v="1"/>
    <x v="1"/>
    <x v="2"/>
    <n v="1"/>
    <m/>
    <x v="3"/>
    <n v="16"/>
    <n v="0.5"/>
    <s v="Left"/>
    <n v="2.5"/>
    <x v="0"/>
    <x v="1"/>
    <x v="1"/>
    <x v="1"/>
  </r>
  <r>
    <n v="87"/>
    <x v="1"/>
    <x v="1"/>
    <n v="15"/>
    <n v="-39"/>
    <n v="2"/>
    <s v="L"/>
    <x v="0"/>
    <m/>
    <x v="1"/>
    <x v="0"/>
    <x v="2"/>
    <n v="1"/>
    <m/>
    <x v="3"/>
    <n v="2"/>
    <n v="2.5"/>
    <s v="Right"/>
    <n v="2.5"/>
    <x v="0"/>
    <x v="1"/>
    <x v="1"/>
    <x v="1"/>
  </r>
  <r>
    <n v="88"/>
    <x v="2"/>
    <x v="2"/>
    <n v="13"/>
    <n v="-41"/>
    <n v="4"/>
    <s v="R"/>
    <x v="0"/>
    <m/>
    <x v="1"/>
    <x v="1"/>
    <x v="2"/>
    <n v="1"/>
    <m/>
    <x v="3"/>
    <n v="4"/>
    <n v="0.5"/>
    <s v="Left"/>
    <n v="2.5"/>
    <x v="0"/>
    <x v="1"/>
    <x v="2"/>
    <x v="1"/>
  </r>
  <r>
    <n v="89"/>
    <x v="3"/>
    <x v="3"/>
    <n v="9"/>
    <n v="-45"/>
    <n v="3"/>
    <s v="L"/>
    <x v="0"/>
    <m/>
    <x v="1"/>
    <x v="0"/>
    <x v="2"/>
    <n v="1"/>
    <m/>
    <x v="3"/>
    <n v="3"/>
    <n v="2.5"/>
    <s v="Right"/>
    <n v="2.5"/>
    <x v="0"/>
    <x v="1"/>
    <x v="3"/>
    <x v="1"/>
  </r>
  <r>
    <n v="99"/>
    <x v="1"/>
    <x v="1"/>
    <n v="10"/>
    <n v="-40"/>
    <n v="13"/>
    <s v="L"/>
    <x v="0"/>
    <m/>
    <x v="1"/>
    <x v="0"/>
    <x v="2"/>
    <n v="1"/>
    <m/>
    <x v="3"/>
    <n v="13"/>
    <n v="2.5"/>
    <s v="Right"/>
    <n v="2.5"/>
    <x v="0"/>
    <x v="1"/>
    <x v="1"/>
    <x v="1"/>
  </r>
  <r>
    <n v="100"/>
    <x v="1"/>
    <x v="1"/>
    <n v="10"/>
    <n v="47"/>
    <n v="4"/>
    <s v="R"/>
    <x v="0"/>
    <m/>
    <x v="1"/>
    <x v="1"/>
    <x v="2"/>
    <n v="1"/>
    <m/>
    <x v="3"/>
    <n v="4"/>
    <n v="0.5"/>
    <s v="Left"/>
    <n v="2.5"/>
    <x v="0"/>
    <x v="1"/>
    <x v="1"/>
    <x v="2"/>
  </r>
  <r>
    <n v="101"/>
    <x v="2"/>
    <x v="2"/>
    <n v="6"/>
    <n v="43"/>
    <n v="13"/>
    <s v="L"/>
    <x v="0"/>
    <m/>
    <x v="1"/>
    <x v="0"/>
    <x v="2"/>
    <n v="1"/>
    <m/>
    <x v="3"/>
    <n v="13"/>
    <n v="2.5"/>
    <s v="Right"/>
    <n v="2.5"/>
    <x v="0"/>
    <x v="1"/>
    <x v="4"/>
    <x v="2"/>
  </r>
  <r>
    <n v="102"/>
    <x v="1"/>
    <x v="1"/>
    <n v="10"/>
    <n v="30"/>
    <n v="-1"/>
    <s v="R"/>
    <x v="0"/>
    <m/>
    <x v="1"/>
    <x v="0"/>
    <x v="2"/>
    <n v="1"/>
    <m/>
    <x v="3"/>
    <n v="-1"/>
    <n v="2.5"/>
    <s v="Right"/>
    <n v="2.5"/>
    <x v="0"/>
    <x v="2"/>
    <x v="1"/>
    <x v="2"/>
  </r>
  <r>
    <n v="103"/>
    <x v="2"/>
    <x v="2"/>
    <n v="11"/>
    <n v="31"/>
    <n v="0"/>
    <s v="R"/>
    <x v="0"/>
    <m/>
    <x v="1"/>
    <x v="0"/>
    <x v="2"/>
    <n v="1"/>
    <m/>
    <x v="3"/>
    <n v="0"/>
    <n v="2.5"/>
    <s v="Right"/>
    <n v="2.5"/>
    <x v="0"/>
    <x v="2"/>
    <x v="2"/>
    <x v="2"/>
  </r>
  <r>
    <n v="105"/>
    <x v="1"/>
    <x v="1"/>
    <n v="10"/>
    <n v="31"/>
    <n v="9"/>
    <s v="R"/>
    <x v="0"/>
    <m/>
    <x v="1"/>
    <x v="0"/>
    <x v="2"/>
    <n v="1"/>
    <m/>
    <x v="3"/>
    <n v="9"/>
    <n v="2.5"/>
    <s v="Right"/>
    <n v="2.5"/>
    <x v="0"/>
    <x v="2"/>
    <x v="1"/>
    <x v="2"/>
  </r>
  <r>
    <n v="106"/>
    <x v="2"/>
    <x v="2"/>
    <n v="1"/>
    <n v="22"/>
    <n v="13"/>
    <s v="R"/>
    <x v="0"/>
    <m/>
    <x v="1"/>
    <x v="0"/>
    <x v="2"/>
    <n v="1"/>
    <m/>
    <x v="3"/>
    <n v="13"/>
    <n v="2.5"/>
    <s v="Right"/>
    <n v="2.5"/>
    <x v="0"/>
    <x v="2"/>
    <x v="7"/>
    <x v="2"/>
  </r>
  <r>
    <n v="108"/>
    <x v="1"/>
    <x v="1"/>
    <n v="4"/>
    <n v="4"/>
    <n v="-1"/>
    <s v="R"/>
    <x v="0"/>
    <m/>
    <x v="1"/>
    <x v="1"/>
    <x v="2"/>
    <n v="1"/>
    <m/>
    <x v="3"/>
    <n v="-1"/>
    <n v="0.5"/>
    <s v="Left"/>
    <n v="2.5"/>
    <x v="0"/>
    <x v="1"/>
    <x v="8"/>
    <x v="4"/>
  </r>
  <r>
    <n v="109"/>
    <x v="2"/>
    <x v="2"/>
    <n v="5"/>
    <n v="5"/>
    <n v="5"/>
    <s v="M"/>
    <x v="0"/>
    <m/>
    <x v="1"/>
    <x v="1"/>
    <x v="2"/>
    <n v="1"/>
    <m/>
    <x v="3"/>
    <n v="5"/>
    <n v="0.5"/>
    <s v="Left"/>
    <n v="2.5"/>
    <x v="0"/>
    <x v="0"/>
    <x v="4"/>
    <x v="4"/>
  </r>
  <r>
    <n v="122"/>
    <x v="1"/>
    <x v="1"/>
    <n v="10"/>
    <n v="-1"/>
    <n v="0"/>
    <s v="L"/>
    <x v="0"/>
    <m/>
    <x v="0"/>
    <x v="0"/>
    <x v="0"/>
    <n v="1"/>
    <n v="0"/>
    <x v="3"/>
    <n v="0"/>
    <n v="2.5"/>
    <s v="Right"/>
    <n v="2.5"/>
    <x v="0"/>
    <x v="1"/>
    <x v="1"/>
    <x v="0"/>
  </r>
  <r>
    <n v="123"/>
    <x v="2"/>
    <x v="2"/>
    <n v="10"/>
    <n v="-1"/>
    <n v="1"/>
    <s v="L"/>
    <x v="0"/>
    <m/>
    <x v="1"/>
    <x v="0"/>
    <x v="2"/>
    <n v="1"/>
    <m/>
    <x v="3"/>
    <n v="1"/>
    <n v="2.5"/>
    <s v="Right"/>
    <n v="2.5"/>
    <x v="0"/>
    <x v="1"/>
    <x v="2"/>
    <x v="0"/>
  </r>
  <r>
    <n v="129"/>
    <x v="1"/>
    <x v="1"/>
    <n v="10"/>
    <n v="10"/>
    <n v="4"/>
    <s v="R"/>
    <x v="0"/>
    <m/>
    <x v="1"/>
    <x v="1"/>
    <x v="2"/>
    <n v="1"/>
    <m/>
    <x v="3"/>
    <n v="4"/>
    <n v="0.5"/>
    <s v="Left"/>
    <n v="2.5"/>
    <x v="0"/>
    <x v="1"/>
    <x v="1"/>
    <x v="4"/>
  </r>
  <r>
    <n v="130"/>
    <x v="2"/>
    <x v="2"/>
    <n v="6"/>
    <n v="6"/>
    <n v="0"/>
    <s v="L"/>
    <x v="0"/>
    <m/>
    <x v="1"/>
    <x v="0"/>
    <x v="2"/>
    <n v="1"/>
    <m/>
    <x v="3"/>
    <n v="0"/>
    <n v="2.5"/>
    <s v="Right"/>
    <n v="2.5"/>
    <x v="0"/>
    <x v="1"/>
    <x v="4"/>
    <x v="4"/>
  </r>
  <r>
    <n v="131"/>
    <x v="3"/>
    <x v="3"/>
    <n v="6"/>
    <n v="6"/>
    <n v="3"/>
    <s v="L"/>
    <x v="0"/>
    <m/>
    <x v="1"/>
    <x v="0"/>
    <x v="2"/>
    <n v="1"/>
    <m/>
    <x v="3"/>
    <n v="3"/>
    <n v="2.5"/>
    <s v="Right"/>
    <n v="2.5"/>
    <x v="0"/>
    <x v="1"/>
    <x v="6"/>
    <x v="4"/>
  </r>
  <r>
    <n v="132"/>
    <x v="4"/>
    <x v="4"/>
    <n v="3"/>
    <n v="3"/>
    <n v="2"/>
    <s v="R"/>
    <x v="0"/>
    <m/>
    <x v="1"/>
    <x v="0"/>
    <x v="2"/>
    <n v="1"/>
    <m/>
    <x v="3"/>
    <n v="2"/>
    <n v="2.5"/>
    <s v="Right"/>
    <n v="2.5"/>
    <x v="0"/>
    <x v="2"/>
    <x v="9"/>
    <x v="4"/>
  </r>
  <r>
    <n v="139"/>
    <x v="1"/>
    <x v="1"/>
    <n v="10"/>
    <n v="-40"/>
    <n v="2"/>
    <s v="M"/>
    <x v="0"/>
    <m/>
    <x v="1"/>
    <x v="0"/>
    <x v="2"/>
    <n v="1"/>
    <m/>
    <x v="3"/>
    <n v="2"/>
    <n v="2.5"/>
    <s v="Right"/>
    <n v="2.5"/>
    <x v="0"/>
    <x v="0"/>
    <x v="1"/>
    <x v="1"/>
  </r>
  <r>
    <n v="140"/>
    <x v="2"/>
    <x v="2"/>
    <n v="8"/>
    <n v="-42"/>
    <n v="0"/>
    <s v="R"/>
    <x v="0"/>
    <m/>
    <x v="0"/>
    <x v="0"/>
    <x v="0"/>
    <n v="1"/>
    <n v="0"/>
    <x v="3"/>
    <n v="0"/>
    <n v="2.5"/>
    <s v="Right"/>
    <n v="2.5"/>
    <x v="0"/>
    <x v="2"/>
    <x v="2"/>
    <x v="1"/>
  </r>
  <r>
    <n v="5"/>
    <x v="1"/>
    <x v="1"/>
    <n v="5"/>
    <n v="46"/>
    <n v="25"/>
    <s v="L"/>
    <x v="0"/>
    <m/>
    <x v="1"/>
    <x v="0"/>
    <x v="2"/>
    <n v="1"/>
    <m/>
    <x v="3"/>
    <n v="25"/>
    <n v="2.5"/>
    <s v="Right"/>
    <n v="2.5"/>
    <x v="0"/>
    <x v="1"/>
    <x v="8"/>
    <x v="2"/>
  </r>
  <r>
    <n v="6"/>
    <x v="1"/>
    <x v="1"/>
    <n v="10"/>
    <n v="21"/>
    <n v="6"/>
    <s v="R"/>
    <x v="0"/>
    <m/>
    <x v="1"/>
    <x v="0"/>
    <x v="2"/>
    <n v="1"/>
    <m/>
    <x v="3"/>
    <n v="6"/>
    <n v="2.5"/>
    <s v="Right"/>
    <n v="2.5"/>
    <x v="0"/>
    <x v="2"/>
    <x v="1"/>
    <x v="2"/>
  </r>
  <r>
    <n v="7"/>
    <x v="2"/>
    <x v="2"/>
    <n v="4"/>
    <n v="15"/>
    <n v="2"/>
    <s v="R"/>
    <x v="0"/>
    <m/>
    <x v="1"/>
    <x v="1"/>
    <x v="2"/>
    <n v="1"/>
    <m/>
    <x v="3"/>
    <n v="2"/>
    <n v="0.5"/>
    <s v="Left"/>
    <n v="2.5"/>
    <x v="0"/>
    <x v="1"/>
    <x v="4"/>
    <x v="4"/>
  </r>
  <r>
    <n v="9"/>
    <x v="3"/>
    <x v="3"/>
    <n v="4"/>
    <n v="15"/>
    <n v="7"/>
    <s v="L"/>
    <x v="0"/>
    <m/>
    <x v="1"/>
    <x v="0"/>
    <x v="2"/>
    <n v="1"/>
    <m/>
    <x v="3"/>
    <n v="7"/>
    <n v="2.5"/>
    <s v="Right"/>
    <n v="2.5"/>
    <x v="0"/>
    <x v="1"/>
    <x v="6"/>
    <x v="4"/>
  </r>
  <r>
    <n v="10"/>
    <x v="1"/>
    <x v="1"/>
    <n v="8"/>
    <n v="8"/>
    <n v="8"/>
    <s v="M"/>
    <x v="0"/>
    <m/>
    <x v="1"/>
    <x v="1"/>
    <x v="2"/>
    <n v="1"/>
    <m/>
    <x v="3"/>
    <n v="8"/>
    <n v="0.5"/>
    <s v="Left"/>
    <n v="2.5"/>
    <x v="0"/>
    <x v="0"/>
    <x v="8"/>
    <x v="4"/>
  </r>
  <r>
    <n v="17"/>
    <x v="1"/>
    <x v="1"/>
    <n v="10"/>
    <n v="42"/>
    <n v="4"/>
    <s v="R"/>
    <x v="0"/>
    <m/>
    <x v="1"/>
    <x v="1"/>
    <x v="2"/>
    <n v="1"/>
    <m/>
    <x v="3"/>
    <n v="4"/>
    <n v="0.5"/>
    <s v="Left"/>
    <n v="2.5"/>
    <x v="0"/>
    <x v="1"/>
    <x v="1"/>
    <x v="2"/>
  </r>
  <r>
    <n v="18"/>
    <x v="2"/>
    <x v="2"/>
    <n v="6"/>
    <n v="38"/>
    <n v="6"/>
    <s v="R"/>
    <x v="0"/>
    <m/>
    <x v="1"/>
    <x v="1"/>
    <x v="2"/>
    <n v="1"/>
    <m/>
    <x v="3"/>
    <n v="6"/>
    <n v="0.5"/>
    <s v="Left"/>
    <n v="2.5"/>
    <x v="0"/>
    <x v="1"/>
    <x v="4"/>
    <x v="2"/>
  </r>
  <r>
    <n v="20"/>
    <x v="1"/>
    <x v="1"/>
    <n v="15"/>
    <n v="37"/>
    <n v="0"/>
    <s v="L"/>
    <x v="0"/>
    <m/>
    <x v="1"/>
    <x v="0"/>
    <x v="2"/>
    <n v="1"/>
    <m/>
    <x v="3"/>
    <n v="0"/>
    <n v="2.5"/>
    <s v="Right"/>
    <n v="2.5"/>
    <x v="0"/>
    <x v="1"/>
    <x v="1"/>
    <x v="2"/>
  </r>
  <r>
    <n v="21"/>
    <x v="2"/>
    <x v="2"/>
    <n v="15"/>
    <n v="37"/>
    <n v="-7"/>
    <s v="R"/>
    <x v="0"/>
    <m/>
    <x v="0"/>
    <x v="2"/>
    <x v="0"/>
    <n v="1"/>
    <n v="0"/>
    <x v="0"/>
    <n v="-7"/>
    <n v="1.5"/>
    <s v="Middle"/>
    <n v="0.5"/>
    <x v="0"/>
    <x v="0"/>
    <x v="2"/>
    <x v="2"/>
  </r>
  <r>
    <n v="22"/>
    <x v="3"/>
    <x v="3"/>
    <n v="22"/>
    <n v="44"/>
    <n v="0"/>
    <s v="R"/>
    <x v="0"/>
    <m/>
    <x v="1"/>
    <x v="0"/>
    <x v="2"/>
    <n v="1"/>
    <m/>
    <x v="3"/>
    <n v="0"/>
    <n v="2.5"/>
    <s v="Right"/>
    <n v="2.5"/>
    <x v="0"/>
    <x v="2"/>
    <x v="3"/>
    <x v="2"/>
  </r>
  <r>
    <n v="34"/>
    <x v="1"/>
    <x v="1"/>
    <n v="10"/>
    <n v="-39"/>
    <n v="7"/>
    <s v="L"/>
    <x v="0"/>
    <m/>
    <x v="1"/>
    <x v="0"/>
    <x v="2"/>
    <n v="1"/>
    <m/>
    <x v="3"/>
    <n v="7"/>
    <n v="2.5"/>
    <s v="Right"/>
    <n v="2.5"/>
    <x v="0"/>
    <x v="1"/>
    <x v="1"/>
    <x v="1"/>
  </r>
  <r>
    <n v="35"/>
    <x v="2"/>
    <x v="2"/>
    <n v="3"/>
    <n v="-46"/>
    <n v="5"/>
    <s v="L"/>
    <x v="0"/>
    <m/>
    <x v="1"/>
    <x v="0"/>
    <x v="2"/>
    <n v="1"/>
    <m/>
    <x v="3"/>
    <n v="5"/>
    <n v="2.5"/>
    <s v="Right"/>
    <n v="2.5"/>
    <x v="0"/>
    <x v="1"/>
    <x v="7"/>
    <x v="1"/>
  </r>
  <r>
    <n v="36"/>
    <x v="1"/>
    <x v="1"/>
    <n v="10"/>
    <n v="49"/>
    <n v="49"/>
    <s v="L"/>
    <x v="0"/>
    <m/>
    <x v="1"/>
    <x v="0"/>
    <x v="2"/>
    <n v="1"/>
    <m/>
    <x v="3"/>
    <n v="49"/>
    <n v="2.5"/>
    <s v="Right"/>
    <n v="2.5"/>
    <x v="0"/>
    <x v="1"/>
    <x v="1"/>
    <x v="2"/>
  </r>
  <r>
    <n v="47"/>
    <x v="1"/>
    <x v="1"/>
    <n v="10"/>
    <n v="43"/>
    <n v="4"/>
    <s v="L"/>
    <x v="0"/>
    <m/>
    <x v="1"/>
    <x v="0"/>
    <x v="2"/>
    <n v="1"/>
    <m/>
    <x v="3"/>
    <n v="4"/>
    <n v="2.5"/>
    <s v="Right"/>
    <n v="2.5"/>
    <x v="0"/>
    <x v="1"/>
    <x v="1"/>
    <x v="2"/>
  </r>
  <r>
    <n v="48"/>
    <x v="2"/>
    <x v="2"/>
    <n v="6"/>
    <n v="39"/>
    <n v="3"/>
    <s v="L"/>
    <x v="0"/>
    <m/>
    <x v="1"/>
    <x v="0"/>
    <x v="2"/>
    <n v="1"/>
    <m/>
    <x v="3"/>
    <n v="3"/>
    <n v="2.5"/>
    <s v="Right"/>
    <n v="2.5"/>
    <x v="0"/>
    <x v="1"/>
    <x v="4"/>
    <x v="2"/>
  </r>
  <r>
    <n v="50"/>
    <x v="3"/>
    <x v="3"/>
    <n v="3"/>
    <n v="36"/>
    <n v="1"/>
    <s v="M"/>
    <x v="0"/>
    <m/>
    <x v="1"/>
    <x v="0"/>
    <x v="2"/>
    <n v="1"/>
    <m/>
    <x v="3"/>
    <n v="1"/>
    <n v="2.5"/>
    <s v="Right"/>
    <n v="2.5"/>
    <x v="0"/>
    <x v="0"/>
    <x v="5"/>
    <x v="2"/>
  </r>
  <r>
    <n v="54"/>
    <x v="1"/>
    <x v="1"/>
    <n v="10"/>
    <n v="25"/>
    <n v="6"/>
    <s v="R"/>
    <x v="0"/>
    <m/>
    <x v="1"/>
    <x v="1"/>
    <x v="2"/>
    <n v="1"/>
    <m/>
    <x v="3"/>
    <n v="6"/>
    <n v="0.5"/>
    <s v="Left"/>
    <n v="2.5"/>
    <x v="0"/>
    <x v="1"/>
    <x v="1"/>
    <x v="2"/>
  </r>
  <r>
    <n v="56"/>
    <x v="2"/>
    <x v="2"/>
    <n v="10"/>
    <n v="14"/>
    <n v="-2"/>
    <s v="M"/>
    <x v="0"/>
    <m/>
    <x v="1"/>
    <x v="1"/>
    <x v="2"/>
    <n v="1"/>
    <m/>
    <x v="3"/>
    <n v="-2"/>
    <n v="0.5"/>
    <s v="Left"/>
    <n v="2.5"/>
    <x v="0"/>
    <x v="0"/>
    <x v="2"/>
    <x v="4"/>
  </r>
  <r>
    <n v="57"/>
    <x v="3"/>
    <x v="3"/>
    <n v="12"/>
    <n v="16"/>
    <n v="-5"/>
    <s v="M"/>
    <x v="0"/>
    <m/>
    <x v="0"/>
    <x v="0"/>
    <x v="0"/>
    <n v="1"/>
    <n v="0"/>
    <x v="3"/>
    <n v="-5"/>
    <n v="2.5"/>
    <s v="Right"/>
    <n v="2.5"/>
    <x v="0"/>
    <x v="0"/>
    <x v="3"/>
    <x v="4"/>
  </r>
  <r>
    <n v="58"/>
    <x v="3"/>
    <x v="3"/>
    <n v="17"/>
    <n v="21"/>
    <n v="5"/>
    <s v="M"/>
    <x v="0"/>
    <m/>
    <x v="1"/>
    <x v="1"/>
    <x v="2"/>
    <n v="1"/>
    <m/>
    <x v="3"/>
    <n v="5"/>
    <n v="0.5"/>
    <s v="Left"/>
    <n v="2.5"/>
    <x v="0"/>
    <x v="0"/>
    <x v="3"/>
    <x v="2"/>
  </r>
  <r>
    <n v="59"/>
    <x v="4"/>
    <x v="4"/>
    <n v="12"/>
    <n v="16"/>
    <n v="0"/>
    <s v="L"/>
    <x v="0"/>
    <m/>
    <x v="1"/>
    <x v="0"/>
    <x v="2"/>
    <n v="1"/>
    <m/>
    <x v="3"/>
    <n v="0"/>
    <n v="2.5"/>
    <s v="Right"/>
    <n v="2.5"/>
    <x v="0"/>
    <x v="1"/>
    <x v="9"/>
    <x v="4"/>
  </r>
  <r>
    <n v="73"/>
    <x v="1"/>
    <x v="1"/>
    <n v="10"/>
    <n v="35"/>
    <n v="-1"/>
    <s v="L"/>
    <x v="0"/>
    <m/>
    <x v="1"/>
    <x v="1"/>
    <x v="2"/>
    <n v="1"/>
    <m/>
    <x v="3"/>
    <n v="-1"/>
    <n v="0.5"/>
    <s v="Left"/>
    <n v="2.5"/>
    <x v="0"/>
    <x v="2"/>
    <x v="1"/>
    <x v="2"/>
  </r>
  <r>
    <n v="74"/>
    <x v="2"/>
    <x v="2"/>
    <n v="11"/>
    <n v="36"/>
    <n v="0"/>
    <s v="L"/>
    <x v="0"/>
    <m/>
    <x v="0"/>
    <x v="1"/>
    <x v="0"/>
    <n v="1"/>
    <n v="0"/>
    <x v="3"/>
    <n v="0"/>
    <n v="0.5"/>
    <s v="Left"/>
    <n v="2.5"/>
    <x v="0"/>
    <x v="2"/>
    <x v="2"/>
    <x v="2"/>
  </r>
  <r>
    <n v="75"/>
    <x v="3"/>
    <x v="3"/>
    <n v="11"/>
    <n v="36"/>
    <n v="3"/>
    <s v="L"/>
    <x v="0"/>
    <m/>
    <x v="1"/>
    <x v="0"/>
    <x v="2"/>
    <n v="1"/>
    <m/>
    <x v="3"/>
    <n v="3"/>
    <n v="2.5"/>
    <s v="Right"/>
    <n v="2.5"/>
    <x v="0"/>
    <x v="1"/>
    <x v="3"/>
    <x v="2"/>
  </r>
  <r>
    <n v="76"/>
    <x v="4"/>
    <x v="4"/>
    <n v="8"/>
    <n v="33"/>
    <n v="0"/>
    <s v="L"/>
    <x v="0"/>
    <m/>
    <x v="0"/>
    <x v="0"/>
    <x v="0"/>
    <n v="1"/>
    <n v="0"/>
    <x v="3"/>
    <n v="0"/>
    <n v="2.5"/>
    <s v="Right"/>
    <n v="2.5"/>
    <x v="0"/>
    <x v="1"/>
    <x v="9"/>
    <x v="2"/>
  </r>
  <r>
    <n v="85"/>
    <x v="1"/>
    <x v="1"/>
    <n v="10"/>
    <n v="-47"/>
    <n v="0"/>
    <s v="L"/>
    <x v="0"/>
    <m/>
    <x v="0"/>
    <x v="0"/>
    <x v="0"/>
    <n v="1"/>
    <n v="0"/>
    <x v="3"/>
    <n v="0"/>
    <n v="2.5"/>
    <s v="Right"/>
    <n v="2.5"/>
    <x v="0"/>
    <x v="1"/>
    <x v="1"/>
    <x v="1"/>
  </r>
  <r>
    <n v="86"/>
    <x v="2"/>
    <x v="2"/>
    <n v="10"/>
    <n v="-47"/>
    <n v="16"/>
    <s v="L"/>
    <x v="0"/>
    <m/>
    <x v="1"/>
    <x v="1"/>
    <x v="2"/>
    <n v="1"/>
    <m/>
    <x v="3"/>
    <n v="16"/>
    <n v="0.5"/>
    <s v="Left"/>
    <n v="2.5"/>
    <x v="0"/>
    <x v="2"/>
    <x v="2"/>
    <x v="1"/>
  </r>
  <r>
    <n v="87"/>
    <x v="1"/>
    <x v="1"/>
    <n v="10"/>
    <n v="37"/>
    <n v="0"/>
    <s v="L"/>
    <x v="0"/>
    <m/>
    <x v="0"/>
    <x v="2"/>
    <x v="0"/>
    <n v="1"/>
    <n v="0"/>
    <x v="0"/>
    <n v="0"/>
    <n v="1.5"/>
    <s v="Middle"/>
    <n v="0.5"/>
    <x v="0"/>
    <x v="0"/>
    <x v="1"/>
    <x v="2"/>
  </r>
  <r>
    <n v="102"/>
    <x v="1"/>
    <x v="1"/>
    <n v="10"/>
    <n v="37"/>
    <n v="7"/>
    <s v="R"/>
    <x v="0"/>
    <m/>
    <x v="1"/>
    <x v="0"/>
    <x v="2"/>
    <n v="1"/>
    <m/>
    <x v="3"/>
    <n v="7"/>
    <n v="2.5"/>
    <s v="Right"/>
    <n v="2.5"/>
    <x v="0"/>
    <x v="2"/>
    <x v="1"/>
    <x v="2"/>
  </r>
  <r>
    <n v="103"/>
    <x v="2"/>
    <x v="2"/>
    <n v="3"/>
    <n v="30"/>
    <n v="2"/>
    <s v="M"/>
    <x v="0"/>
    <m/>
    <x v="1"/>
    <x v="0"/>
    <x v="2"/>
    <n v="1"/>
    <m/>
    <x v="3"/>
    <n v="2"/>
    <n v="2.5"/>
    <s v="Right"/>
    <n v="2.5"/>
    <x v="0"/>
    <x v="0"/>
    <x v="7"/>
    <x v="2"/>
  </r>
  <r>
    <n v="104"/>
    <x v="3"/>
    <x v="3"/>
    <n v="1"/>
    <n v="28"/>
    <n v="3"/>
    <s v="R"/>
    <x v="0"/>
    <m/>
    <x v="1"/>
    <x v="1"/>
    <x v="2"/>
    <n v="1"/>
    <m/>
    <x v="3"/>
    <n v="3"/>
    <n v="0.5"/>
    <s v="Left"/>
    <n v="2.5"/>
    <x v="0"/>
    <x v="1"/>
    <x v="5"/>
    <x v="2"/>
  </r>
  <r>
    <n v="105"/>
    <x v="1"/>
    <x v="1"/>
    <n v="10"/>
    <n v="25"/>
    <n v="20"/>
    <s v="R"/>
    <x v="0"/>
    <m/>
    <x v="0"/>
    <x v="1"/>
    <x v="0"/>
    <n v="1"/>
    <n v="1"/>
    <x v="2"/>
    <n v="20"/>
    <n v="0.5"/>
    <s v="Left"/>
    <n v="2.5"/>
    <x v="0"/>
    <x v="1"/>
    <x v="1"/>
    <x v="2"/>
  </r>
  <r>
    <n v="106"/>
    <x v="1"/>
    <x v="1"/>
    <n v="5"/>
    <n v="5"/>
    <n v="2"/>
    <s v="L"/>
    <x v="0"/>
    <m/>
    <x v="0"/>
    <x v="0"/>
    <x v="0"/>
    <n v="1"/>
    <n v="0"/>
    <x v="3"/>
    <n v="2"/>
    <n v="2.5"/>
    <s v="Right"/>
    <n v="2.5"/>
    <x v="0"/>
    <x v="1"/>
    <x v="8"/>
    <x v="4"/>
  </r>
  <r>
    <n v="108"/>
    <x v="2"/>
    <x v="2"/>
    <n v="3"/>
    <n v="3"/>
    <n v="3"/>
    <s v="M"/>
    <x v="0"/>
    <m/>
    <x v="1"/>
    <x v="0"/>
    <x v="2"/>
    <n v="1"/>
    <m/>
    <x v="3"/>
    <n v="3"/>
    <n v="2.5"/>
    <s v="Right"/>
    <n v="2.5"/>
    <x v="0"/>
    <x v="0"/>
    <x v="7"/>
    <x v="4"/>
  </r>
  <r>
    <n v="120"/>
    <x v="1"/>
    <x v="1"/>
    <n v="10"/>
    <n v="-45"/>
    <n v="16"/>
    <s v="R"/>
    <x v="0"/>
    <m/>
    <x v="0"/>
    <x v="0"/>
    <x v="0"/>
    <n v="1"/>
    <n v="1"/>
    <x v="2"/>
    <n v="16"/>
    <n v="2.5"/>
    <s v="Right"/>
    <n v="2.5"/>
    <x v="0"/>
    <x v="2"/>
    <x v="1"/>
    <x v="1"/>
  </r>
  <r>
    <n v="121"/>
    <x v="1"/>
    <x v="1"/>
    <n v="10"/>
    <n v="39"/>
    <n v="1"/>
    <s v="R"/>
    <x v="0"/>
    <m/>
    <x v="1"/>
    <x v="1"/>
    <x v="2"/>
    <n v="1"/>
    <m/>
    <x v="3"/>
    <n v="1"/>
    <n v="0.5"/>
    <s v="Left"/>
    <n v="2.5"/>
    <x v="0"/>
    <x v="1"/>
    <x v="1"/>
    <x v="2"/>
  </r>
  <r>
    <n v="122"/>
    <x v="2"/>
    <x v="2"/>
    <n v="9"/>
    <n v="38"/>
    <n v="7"/>
    <s v="R"/>
    <x v="0"/>
    <m/>
    <x v="1"/>
    <x v="1"/>
    <x v="2"/>
    <n v="1"/>
    <m/>
    <x v="3"/>
    <n v="7"/>
    <n v="0.5"/>
    <s v="Left"/>
    <n v="2.5"/>
    <x v="0"/>
    <x v="1"/>
    <x v="2"/>
    <x v="2"/>
  </r>
  <r>
    <n v="123"/>
    <x v="3"/>
    <x v="3"/>
    <n v="2"/>
    <n v="31"/>
    <n v="2"/>
    <s v="R"/>
    <x v="0"/>
    <m/>
    <x v="1"/>
    <x v="0"/>
    <x v="2"/>
    <n v="1"/>
    <m/>
    <x v="3"/>
    <n v="2"/>
    <n v="2.5"/>
    <s v="Right"/>
    <n v="2.5"/>
    <x v="0"/>
    <x v="2"/>
    <x v="5"/>
    <x v="2"/>
  </r>
  <r>
    <n v="125"/>
    <x v="1"/>
    <x v="1"/>
    <n v="10"/>
    <n v="29"/>
    <n v="0"/>
    <s v="R"/>
    <x v="0"/>
    <m/>
    <x v="0"/>
    <x v="1"/>
    <x v="0"/>
    <n v="1"/>
    <n v="0"/>
    <x v="3"/>
    <n v="0"/>
    <n v="0.5"/>
    <s v="Left"/>
    <n v="2.5"/>
    <x v="0"/>
    <x v="1"/>
    <x v="1"/>
    <x v="2"/>
  </r>
  <r>
    <n v="128"/>
    <x v="2"/>
    <x v="2"/>
    <n v="10"/>
    <n v="39"/>
    <n v="0"/>
    <s v="R"/>
    <x v="0"/>
    <m/>
    <x v="0"/>
    <x v="1"/>
    <x v="0"/>
    <n v="1"/>
    <n v="0"/>
    <x v="3"/>
    <n v="0"/>
    <n v="0.5"/>
    <s v="Left"/>
    <n v="2.5"/>
    <x v="0"/>
    <x v="1"/>
    <x v="2"/>
    <x v="2"/>
  </r>
  <r>
    <n v="129"/>
    <x v="3"/>
    <x v="3"/>
    <n v="10"/>
    <n v="39"/>
    <n v="0"/>
    <s v="R"/>
    <x v="0"/>
    <m/>
    <x v="0"/>
    <x v="1"/>
    <x v="0"/>
    <n v="1"/>
    <n v="0"/>
    <x v="3"/>
    <n v="0"/>
    <n v="0.5"/>
    <s v="Left"/>
    <n v="2.5"/>
    <x v="0"/>
    <x v="1"/>
    <x v="3"/>
    <x v="2"/>
  </r>
  <r>
    <n v="131"/>
    <x v="1"/>
    <x v="1"/>
    <n v="10"/>
    <n v="26"/>
    <n v="4"/>
    <s v="L"/>
    <x v="0"/>
    <m/>
    <x v="1"/>
    <x v="0"/>
    <x v="2"/>
    <n v="1"/>
    <m/>
    <x v="3"/>
    <n v="4"/>
    <n v="2.5"/>
    <s v="Right"/>
    <n v="2.5"/>
    <x v="0"/>
    <x v="1"/>
    <x v="1"/>
    <x v="2"/>
  </r>
  <r>
    <n v="132"/>
    <x v="2"/>
    <x v="2"/>
    <n v="6"/>
    <n v="22"/>
    <n v="22"/>
    <s v="M"/>
    <x v="0"/>
    <m/>
    <x v="1"/>
    <x v="1"/>
    <x v="2"/>
    <n v="1"/>
    <m/>
    <x v="3"/>
    <n v="22"/>
    <n v="0.5"/>
    <s v="Left"/>
    <n v="2.5"/>
    <x v="0"/>
    <x v="0"/>
    <x v="4"/>
    <x v="2"/>
  </r>
  <r>
    <n v="153"/>
    <x v="1"/>
    <x v="1"/>
    <n v="10"/>
    <n v="-30"/>
    <n v="5"/>
    <s v="M"/>
    <x v="0"/>
    <m/>
    <x v="1"/>
    <x v="0"/>
    <x v="2"/>
    <n v="1"/>
    <m/>
    <x v="3"/>
    <n v="5"/>
    <n v="2.5"/>
    <s v="Right"/>
    <n v="2.5"/>
    <x v="0"/>
    <x v="0"/>
    <x v="1"/>
    <x v="1"/>
  </r>
  <r>
    <n v="154"/>
    <x v="2"/>
    <x v="2"/>
    <n v="5"/>
    <n v="-35"/>
    <n v="1"/>
    <s v="M"/>
    <x v="0"/>
    <m/>
    <x v="1"/>
    <x v="0"/>
    <x v="2"/>
    <n v="1"/>
    <m/>
    <x v="3"/>
    <n v="1"/>
    <n v="2.5"/>
    <s v="Right"/>
    <n v="2.5"/>
    <x v="0"/>
    <x v="0"/>
    <x v="4"/>
    <x v="1"/>
  </r>
  <r>
    <n v="155"/>
    <x v="3"/>
    <x v="3"/>
    <n v="4"/>
    <n v="-36"/>
    <n v="10"/>
    <s v="M"/>
    <x v="0"/>
    <m/>
    <x v="1"/>
    <x v="1"/>
    <x v="3"/>
    <n v="1"/>
    <m/>
    <x v="3"/>
    <n v="10"/>
    <n v="0.5"/>
    <s v="Left"/>
    <n v="2.5"/>
    <x v="0"/>
    <x v="0"/>
    <x v="6"/>
    <x v="1"/>
  </r>
  <r>
    <n v="156"/>
    <x v="1"/>
    <x v="1"/>
    <n v="10"/>
    <n v="-46"/>
    <n v="12"/>
    <s v="L"/>
    <x v="0"/>
    <m/>
    <x v="1"/>
    <x v="0"/>
    <x v="2"/>
    <n v="1"/>
    <m/>
    <x v="3"/>
    <n v="12"/>
    <n v="2.5"/>
    <s v="Right"/>
    <n v="2.5"/>
    <x v="0"/>
    <x v="1"/>
    <x v="1"/>
    <x v="1"/>
  </r>
  <r>
    <n v="157"/>
    <x v="1"/>
    <x v="1"/>
    <n v="10"/>
    <n v="42"/>
    <n v="6"/>
    <s v="L"/>
    <x v="0"/>
    <m/>
    <x v="1"/>
    <x v="0"/>
    <x v="2"/>
    <n v="1"/>
    <m/>
    <x v="3"/>
    <n v="6"/>
    <n v="2.5"/>
    <s v="Right"/>
    <n v="2.5"/>
    <x v="0"/>
    <x v="1"/>
    <x v="1"/>
    <x v="2"/>
  </r>
  <r>
    <n v="158"/>
    <x v="2"/>
    <x v="2"/>
    <n v="4"/>
    <n v="36"/>
    <n v="-1"/>
    <s v="L"/>
    <x v="0"/>
    <m/>
    <x v="1"/>
    <x v="0"/>
    <x v="2"/>
    <n v="1"/>
    <m/>
    <x v="3"/>
    <n v="-1"/>
    <n v="2.5"/>
    <s v="Right"/>
    <n v="2.5"/>
    <x v="0"/>
    <x v="1"/>
    <x v="4"/>
    <x v="2"/>
  </r>
  <r>
    <n v="160"/>
    <x v="3"/>
    <x v="3"/>
    <n v="10"/>
    <n v="42"/>
    <n v="-7"/>
    <s v="R"/>
    <x v="0"/>
    <m/>
    <x v="0"/>
    <x v="2"/>
    <x v="0"/>
    <n v="1"/>
    <n v="0"/>
    <x v="0"/>
    <n v="-7"/>
    <n v="1.5"/>
    <s v="Middle"/>
    <n v="0.5"/>
    <x v="0"/>
    <x v="0"/>
    <x v="3"/>
    <x v="2"/>
  </r>
  <r>
    <n v="162"/>
    <x v="4"/>
    <x v="4"/>
    <n v="17"/>
    <n v="49"/>
    <n v="0"/>
    <s v="R"/>
    <x v="0"/>
    <m/>
    <x v="0"/>
    <x v="1"/>
    <x v="0"/>
    <n v="1"/>
    <n v="0"/>
    <x v="3"/>
    <n v="0"/>
    <n v="0.5"/>
    <s v="Left"/>
    <n v="2.5"/>
    <x v="0"/>
    <x v="1"/>
    <x v="9"/>
    <x v="2"/>
  </r>
  <r>
    <n v="3"/>
    <x v="1"/>
    <x v="1"/>
    <n v="5"/>
    <n v="-36"/>
    <n v="3"/>
    <s v="L"/>
    <x v="0"/>
    <m/>
    <x v="1"/>
    <x v="1"/>
    <x v="2"/>
    <n v="1"/>
    <m/>
    <x v="3"/>
    <n v="3"/>
    <n v="0.5"/>
    <s v="Left"/>
    <n v="2.5"/>
    <x v="0"/>
    <x v="2"/>
    <x v="8"/>
    <x v="1"/>
  </r>
  <r>
    <n v="4"/>
    <x v="2"/>
    <x v="2"/>
    <n v="2"/>
    <n v="-39"/>
    <n v="0"/>
    <s v="L"/>
    <x v="0"/>
    <m/>
    <x v="0"/>
    <x v="0"/>
    <x v="0"/>
    <n v="1"/>
    <n v="0"/>
    <x v="3"/>
    <n v="0"/>
    <n v="2.5"/>
    <s v="Right"/>
    <n v="2.5"/>
    <x v="0"/>
    <x v="1"/>
    <x v="7"/>
    <x v="1"/>
  </r>
  <r>
    <n v="5"/>
    <x v="3"/>
    <x v="3"/>
    <n v="2"/>
    <n v="-39"/>
    <n v="53"/>
    <s v="L"/>
    <x v="0"/>
    <m/>
    <x v="1"/>
    <x v="0"/>
    <x v="2"/>
    <n v="1"/>
    <m/>
    <x v="3"/>
    <n v="53"/>
    <n v="2.5"/>
    <s v="Right"/>
    <n v="2.5"/>
    <x v="0"/>
    <x v="1"/>
    <x v="5"/>
    <x v="1"/>
  </r>
  <r>
    <n v="6"/>
    <x v="1"/>
    <x v="1"/>
    <n v="8"/>
    <n v="8"/>
    <n v="8"/>
    <s v="M"/>
    <x v="0"/>
    <m/>
    <x v="1"/>
    <x v="0"/>
    <x v="2"/>
    <n v="1"/>
    <m/>
    <x v="3"/>
    <n v="8"/>
    <n v="2.5"/>
    <s v="Right"/>
    <n v="2.5"/>
    <x v="0"/>
    <x v="0"/>
    <x v="8"/>
    <x v="4"/>
  </r>
  <r>
    <n v="21"/>
    <x v="1"/>
    <x v="1"/>
    <n v="10"/>
    <n v="-44"/>
    <n v="1"/>
    <s v="R"/>
    <x v="0"/>
    <m/>
    <x v="1"/>
    <x v="0"/>
    <x v="2"/>
    <n v="1"/>
    <m/>
    <x v="3"/>
    <n v="1"/>
    <n v="2.5"/>
    <s v="Right"/>
    <n v="2.5"/>
    <x v="0"/>
    <x v="2"/>
    <x v="1"/>
    <x v="1"/>
  </r>
  <r>
    <n v="22"/>
    <x v="2"/>
    <x v="2"/>
    <n v="9"/>
    <n v="-45"/>
    <n v="1"/>
    <s v="R"/>
    <x v="0"/>
    <m/>
    <x v="1"/>
    <x v="1"/>
    <x v="2"/>
    <n v="1"/>
    <m/>
    <x v="3"/>
    <n v="1"/>
    <n v="0.5"/>
    <s v="Left"/>
    <n v="2.5"/>
    <x v="0"/>
    <x v="1"/>
    <x v="2"/>
    <x v="1"/>
  </r>
  <r>
    <n v="25"/>
    <x v="3"/>
    <x v="3"/>
    <n v="8"/>
    <n v="-46"/>
    <n v="0"/>
    <s v="R"/>
    <x v="0"/>
    <m/>
    <x v="0"/>
    <x v="0"/>
    <x v="0"/>
    <n v="1"/>
    <n v="0"/>
    <x v="3"/>
    <n v="0"/>
    <n v="2.5"/>
    <s v="Right"/>
    <n v="2.5"/>
    <x v="0"/>
    <x v="2"/>
    <x v="3"/>
    <x v="1"/>
  </r>
  <r>
    <n v="31"/>
    <x v="1"/>
    <x v="1"/>
    <n v="10"/>
    <n v="-40"/>
    <n v="14"/>
    <s v="R"/>
    <x v="0"/>
    <m/>
    <x v="1"/>
    <x v="0"/>
    <x v="3"/>
    <n v="1"/>
    <m/>
    <x v="3"/>
    <n v="14"/>
    <n v="2.5"/>
    <s v="Right"/>
    <n v="2.5"/>
    <x v="0"/>
    <x v="2"/>
    <x v="1"/>
    <x v="1"/>
  </r>
  <r>
    <n v="32"/>
    <x v="1"/>
    <x v="1"/>
    <n v="10"/>
    <n v="46"/>
    <n v="16"/>
    <s v="R"/>
    <x v="0"/>
    <m/>
    <x v="1"/>
    <x v="0"/>
    <x v="2"/>
    <n v="1"/>
    <m/>
    <x v="3"/>
    <n v="16"/>
    <n v="2.5"/>
    <s v="Right"/>
    <n v="2.5"/>
    <x v="0"/>
    <x v="2"/>
    <x v="1"/>
    <x v="2"/>
  </r>
  <r>
    <n v="33"/>
    <x v="1"/>
    <x v="1"/>
    <n v="10"/>
    <n v="30"/>
    <n v="-3"/>
    <s v="R"/>
    <x v="0"/>
    <m/>
    <x v="1"/>
    <x v="0"/>
    <x v="2"/>
    <n v="1"/>
    <m/>
    <x v="3"/>
    <n v="-3"/>
    <n v="2.5"/>
    <s v="Right"/>
    <n v="2.5"/>
    <x v="0"/>
    <x v="2"/>
    <x v="1"/>
    <x v="2"/>
  </r>
  <r>
    <n v="34"/>
    <x v="2"/>
    <x v="2"/>
    <n v="13"/>
    <n v="33"/>
    <n v="0"/>
    <s v="R"/>
    <x v="0"/>
    <m/>
    <x v="1"/>
    <x v="0"/>
    <x v="2"/>
    <n v="1"/>
    <m/>
    <x v="3"/>
    <n v="0"/>
    <n v="2.5"/>
    <s v="Right"/>
    <n v="2.5"/>
    <x v="0"/>
    <x v="2"/>
    <x v="2"/>
    <x v="2"/>
  </r>
  <r>
    <n v="42"/>
    <x v="1"/>
    <x v="1"/>
    <n v="10"/>
    <n v="-20"/>
    <n v="0"/>
    <s v="R"/>
    <x v="0"/>
    <m/>
    <x v="1"/>
    <x v="0"/>
    <x v="2"/>
    <n v="1"/>
    <m/>
    <x v="3"/>
    <n v="0"/>
    <n v="2.5"/>
    <s v="Right"/>
    <n v="2.5"/>
    <x v="0"/>
    <x v="2"/>
    <x v="1"/>
    <x v="3"/>
  </r>
  <r>
    <n v="43"/>
    <x v="2"/>
    <x v="2"/>
    <n v="10"/>
    <n v="-20"/>
    <n v="1"/>
    <s v="R"/>
    <x v="0"/>
    <m/>
    <x v="1"/>
    <x v="1"/>
    <x v="2"/>
    <n v="1"/>
    <m/>
    <x v="3"/>
    <n v="1"/>
    <n v="0.5"/>
    <s v="Left"/>
    <n v="2.5"/>
    <x v="0"/>
    <x v="1"/>
    <x v="2"/>
    <x v="3"/>
  </r>
  <r>
    <n v="44"/>
    <x v="3"/>
    <x v="3"/>
    <n v="9"/>
    <n v="-21"/>
    <n v="0"/>
    <s v="L"/>
    <x v="0"/>
    <m/>
    <x v="0"/>
    <x v="1"/>
    <x v="0"/>
    <n v="1"/>
    <n v="0"/>
    <x v="3"/>
    <n v="0"/>
    <n v="0.5"/>
    <s v="Left"/>
    <n v="2.5"/>
    <x v="0"/>
    <x v="2"/>
    <x v="3"/>
    <x v="1"/>
  </r>
  <r>
    <n v="59"/>
    <x v="1"/>
    <x v="1"/>
    <n v="10"/>
    <n v="-20"/>
    <n v="1"/>
    <s v="L"/>
    <x v="0"/>
    <m/>
    <x v="1"/>
    <x v="0"/>
    <x v="2"/>
    <n v="1"/>
    <m/>
    <x v="3"/>
    <n v="1"/>
    <n v="2.5"/>
    <s v="Right"/>
    <n v="2.5"/>
    <x v="0"/>
    <x v="1"/>
    <x v="1"/>
    <x v="3"/>
  </r>
  <r>
    <n v="60"/>
    <x v="2"/>
    <x v="2"/>
    <n v="9"/>
    <n v="-21"/>
    <n v="10"/>
    <s v="M"/>
    <x v="0"/>
    <m/>
    <x v="1"/>
    <x v="1"/>
    <x v="2"/>
    <n v="1"/>
    <m/>
    <x v="3"/>
    <n v="10"/>
    <n v="0.5"/>
    <s v="Left"/>
    <n v="2.5"/>
    <x v="0"/>
    <x v="0"/>
    <x v="2"/>
    <x v="1"/>
  </r>
  <r>
    <n v="61"/>
    <x v="1"/>
    <x v="1"/>
    <n v="10"/>
    <n v="-31"/>
    <n v="27"/>
    <s v="L"/>
    <x v="0"/>
    <m/>
    <x v="1"/>
    <x v="0"/>
    <x v="2"/>
    <n v="1"/>
    <m/>
    <x v="3"/>
    <n v="27"/>
    <n v="2.5"/>
    <s v="Right"/>
    <n v="2.5"/>
    <x v="0"/>
    <x v="1"/>
    <x v="1"/>
    <x v="1"/>
  </r>
  <r>
    <n v="62"/>
    <x v="1"/>
    <x v="1"/>
    <n v="10"/>
    <n v="42"/>
    <n v="1"/>
    <s v="R"/>
    <x v="0"/>
    <m/>
    <x v="1"/>
    <x v="0"/>
    <x v="2"/>
    <n v="1"/>
    <m/>
    <x v="3"/>
    <n v="1"/>
    <n v="2.5"/>
    <s v="Right"/>
    <n v="2.5"/>
    <x v="0"/>
    <x v="2"/>
    <x v="1"/>
    <x v="2"/>
  </r>
  <r>
    <n v="63"/>
    <x v="2"/>
    <x v="2"/>
    <n v="9"/>
    <n v="41"/>
    <n v="-4"/>
    <s v="R"/>
    <x v="0"/>
    <m/>
    <x v="1"/>
    <x v="1"/>
    <x v="2"/>
    <n v="1"/>
    <m/>
    <x v="3"/>
    <n v="-4"/>
    <n v="0.5"/>
    <s v="Left"/>
    <n v="2.5"/>
    <x v="0"/>
    <x v="1"/>
    <x v="2"/>
    <x v="2"/>
  </r>
  <r>
    <n v="78"/>
    <x v="1"/>
    <x v="1"/>
    <n v="10"/>
    <n v="-7"/>
    <n v="8"/>
    <s v="R"/>
    <x v="0"/>
    <m/>
    <x v="1"/>
    <x v="0"/>
    <x v="2"/>
    <n v="1"/>
    <m/>
    <x v="3"/>
    <n v="8"/>
    <n v="2.5"/>
    <s v="Right"/>
    <n v="2.5"/>
    <x v="0"/>
    <x v="2"/>
    <x v="1"/>
    <x v="3"/>
  </r>
  <r>
    <n v="80"/>
    <x v="2"/>
    <x v="2"/>
    <n v="7"/>
    <n v="-10"/>
    <n v="2"/>
    <s v="R"/>
    <x v="0"/>
    <m/>
    <x v="1"/>
    <x v="0"/>
    <x v="2"/>
    <n v="1"/>
    <m/>
    <x v="3"/>
    <n v="2"/>
    <n v="2.5"/>
    <s v="Right"/>
    <n v="2.5"/>
    <x v="0"/>
    <x v="2"/>
    <x v="4"/>
    <x v="3"/>
  </r>
  <r>
    <n v="81"/>
    <x v="3"/>
    <x v="3"/>
    <n v="5"/>
    <n v="-12"/>
    <n v="6"/>
    <s v="R"/>
    <x v="0"/>
    <m/>
    <x v="1"/>
    <x v="1"/>
    <x v="2"/>
    <n v="1"/>
    <m/>
    <x v="3"/>
    <n v="6"/>
    <n v="0.5"/>
    <s v="Left"/>
    <n v="2.5"/>
    <x v="0"/>
    <x v="1"/>
    <x v="6"/>
    <x v="3"/>
  </r>
  <r>
    <n v="82"/>
    <x v="1"/>
    <x v="1"/>
    <n v="10"/>
    <n v="-18"/>
    <n v="0"/>
    <s v="R"/>
    <x v="0"/>
    <m/>
    <x v="0"/>
    <x v="0"/>
    <x v="0"/>
    <n v="1"/>
    <n v="0"/>
    <x v="3"/>
    <n v="0"/>
    <n v="2.5"/>
    <s v="Right"/>
    <n v="2.5"/>
    <x v="0"/>
    <x v="2"/>
    <x v="1"/>
    <x v="3"/>
  </r>
  <r>
    <n v="83"/>
    <x v="2"/>
    <x v="2"/>
    <n v="10"/>
    <n v="-18"/>
    <n v="0"/>
    <s v="R"/>
    <x v="0"/>
    <m/>
    <x v="0"/>
    <x v="1"/>
    <x v="0"/>
    <n v="1"/>
    <n v="0"/>
    <x v="3"/>
    <n v="0"/>
    <n v="0.5"/>
    <s v="Left"/>
    <n v="2.5"/>
    <x v="0"/>
    <x v="1"/>
    <x v="2"/>
    <x v="3"/>
  </r>
  <r>
    <n v="84"/>
    <x v="3"/>
    <x v="3"/>
    <n v="10"/>
    <n v="-18"/>
    <n v="-11"/>
    <s v="R"/>
    <x v="0"/>
    <m/>
    <x v="1"/>
    <x v="1"/>
    <x v="2"/>
    <n v="1"/>
    <m/>
    <x v="3"/>
    <n v="-11"/>
    <n v="0.5"/>
    <s v="Left"/>
    <n v="2.5"/>
    <x v="0"/>
    <x v="1"/>
    <x v="3"/>
    <x v="3"/>
  </r>
  <r>
    <n v="92"/>
    <x v="1"/>
    <x v="1"/>
    <n v="10"/>
    <n v="-30"/>
    <n v="3"/>
    <s v="M"/>
    <x v="0"/>
    <m/>
    <x v="1"/>
    <x v="1"/>
    <x v="2"/>
    <n v="1"/>
    <m/>
    <x v="3"/>
    <n v="3"/>
    <n v="0.5"/>
    <s v="Left"/>
    <n v="2.5"/>
    <x v="0"/>
    <x v="0"/>
    <x v="1"/>
    <x v="1"/>
  </r>
  <r>
    <n v="93"/>
    <x v="2"/>
    <x v="2"/>
    <n v="7"/>
    <n v="-33"/>
    <n v="0"/>
    <s v="L"/>
    <x v="0"/>
    <m/>
    <x v="1"/>
    <x v="0"/>
    <x v="2"/>
    <n v="1"/>
    <m/>
    <x v="3"/>
    <n v="0"/>
    <n v="2.5"/>
    <s v="Right"/>
    <n v="2.5"/>
    <x v="0"/>
    <x v="1"/>
    <x v="4"/>
    <x v="1"/>
  </r>
  <r>
    <n v="106"/>
    <x v="1"/>
    <x v="1"/>
    <n v="10"/>
    <n v="-33"/>
    <n v="1"/>
    <s v="R"/>
    <x v="0"/>
    <m/>
    <x v="1"/>
    <x v="0"/>
    <x v="2"/>
    <n v="1"/>
    <m/>
    <x v="3"/>
    <n v="1"/>
    <n v="2.5"/>
    <s v="Right"/>
    <n v="2.5"/>
    <x v="0"/>
    <x v="2"/>
    <x v="1"/>
    <x v="1"/>
  </r>
  <r>
    <n v="107"/>
    <x v="2"/>
    <x v="2"/>
    <n v="9"/>
    <n v="-34"/>
    <n v="-3"/>
    <s v="R"/>
    <x v="0"/>
    <m/>
    <x v="0"/>
    <x v="2"/>
    <x v="0"/>
    <n v="1"/>
    <n v="0"/>
    <x v="0"/>
    <n v="-3"/>
    <n v="1.5"/>
    <s v="Middle"/>
    <n v="0.5"/>
    <x v="0"/>
    <x v="0"/>
    <x v="2"/>
    <x v="1"/>
  </r>
  <r>
    <n v="108"/>
    <x v="3"/>
    <x v="3"/>
    <n v="12"/>
    <n v="-31"/>
    <n v="1"/>
    <s v="M"/>
    <x v="0"/>
    <m/>
    <x v="1"/>
    <x v="1"/>
    <x v="2"/>
    <n v="1"/>
    <m/>
    <x v="3"/>
    <n v="1"/>
    <n v="0.5"/>
    <s v="Left"/>
    <n v="2.5"/>
    <x v="0"/>
    <x v="0"/>
    <x v="3"/>
    <x v="1"/>
  </r>
  <r>
    <n v="117"/>
    <x v="1"/>
    <x v="1"/>
    <n v="10"/>
    <n v="-19"/>
    <n v="1"/>
    <s v="R"/>
    <x v="0"/>
    <m/>
    <x v="1"/>
    <x v="1"/>
    <x v="2"/>
    <n v="1"/>
    <m/>
    <x v="3"/>
    <n v="1"/>
    <n v="0.5"/>
    <s v="Left"/>
    <n v="2.5"/>
    <x v="0"/>
    <x v="1"/>
    <x v="1"/>
    <x v="3"/>
  </r>
  <r>
    <n v="119"/>
    <x v="2"/>
    <x v="2"/>
    <n v="9"/>
    <n v="-20"/>
    <n v="10"/>
    <s v="M"/>
    <x v="0"/>
    <m/>
    <x v="1"/>
    <x v="1"/>
    <x v="2"/>
    <n v="1"/>
    <m/>
    <x v="3"/>
    <n v="10"/>
    <n v="0.5"/>
    <s v="Left"/>
    <n v="2.5"/>
    <x v="0"/>
    <x v="0"/>
    <x v="2"/>
    <x v="3"/>
  </r>
  <r>
    <n v="120"/>
    <x v="1"/>
    <x v="1"/>
    <n v="10"/>
    <n v="-30"/>
    <n v="1"/>
    <s v="L"/>
    <x v="0"/>
    <m/>
    <x v="1"/>
    <x v="1"/>
    <x v="2"/>
    <n v="1"/>
    <m/>
    <x v="3"/>
    <n v="1"/>
    <n v="0.5"/>
    <s v="Left"/>
    <n v="2.5"/>
    <x v="0"/>
    <x v="2"/>
    <x v="1"/>
    <x v="1"/>
  </r>
  <r>
    <n v="121"/>
    <x v="2"/>
    <x v="2"/>
    <n v="9"/>
    <n v="-31"/>
    <n v="2"/>
    <s v="L"/>
    <x v="0"/>
    <m/>
    <x v="1"/>
    <x v="1"/>
    <x v="2"/>
    <n v="1"/>
    <m/>
    <x v="3"/>
    <n v="2"/>
    <n v="0.5"/>
    <s v="Left"/>
    <n v="2.5"/>
    <x v="0"/>
    <x v="2"/>
    <x v="2"/>
    <x v="1"/>
  </r>
  <r>
    <n v="122"/>
    <x v="3"/>
    <x v="3"/>
    <n v="7"/>
    <n v="-33"/>
    <n v="4"/>
    <s v="L"/>
    <x v="0"/>
    <m/>
    <x v="1"/>
    <x v="0"/>
    <x v="2"/>
    <n v="1"/>
    <m/>
    <x v="3"/>
    <n v="4"/>
    <n v="2.5"/>
    <s v="Right"/>
    <n v="2.5"/>
    <x v="0"/>
    <x v="1"/>
    <x v="6"/>
    <x v="1"/>
  </r>
  <r>
    <n v="137"/>
    <x v="1"/>
    <x v="1"/>
    <n v="10"/>
    <n v="-34"/>
    <n v="4"/>
    <s v="L"/>
    <x v="0"/>
    <m/>
    <x v="1"/>
    <x v="0"/>
    <x v="2"/>
    <n v="1"/>
    <m/>
    <x v="3"/>
    <n v="4"/>
    <n v="2.5"/>
    <s v="Right"/>
    <n v="2.5"/>
    <x v="0"/>
    <x v="1"/>
    <x v="1"/>
    <x v="1"/>
  </r>
  <r>
    <n v="140"/>
    <x v="2"/>
    <x v="2"/>
    <n v="6"/>
    <n v="-38"/>
    <n v="5"/>
    <s v="M"/>
    <x v="0"/>
    <m/>
    <x v="1"/>
    <x v="0"/>
    <x v="2"/>
    <n v="1"/>
    <m/>
    <x v="3"/>
    <n v="5"/>
    <n v="2.5"/>
    <s v="Right"/>
    <n v="2.5"/>
    <x v="0"/>
    <x v="0"/>
    <x v="4"/>
    <x v="1"/>
  </r>
  <r>
    <n v="141"/>
    <x v="3"/>
    <x v="3"/>
    <n v="1"/>
    <n v="-43"/>
    <n v="0"/>
    <s v="L"/>
    <x v="0"/>
    <m/>
    <x v="1"/>
    <x v="0"/>
    <x v="2"/>
    <n v="1"/>
    <m/>
    <x v="3"/>
    <n v="0"/>
    <n v="2.5"/>
    <s v="Right"/>
    <n v="2.5"/>
    <x v="0"/>
    <x v="1"/>
    <x v="5"/>
    <x v="1"/>
  </r>
  <r>
    <n v="150"/>
    <x v="1"/>
    <x v="1"/>
    <n v="10"/>
    <n v="-32"/>
    <n v="6"/>
    <s v="L"/>
    <x v="0"/>
    <m/>
    <x v="1"/>
    <x v="1"/>
    <x v="2"/>
    <n v="1"/>
    <m/>
    <x v="3"/>
    <n v="6"/>
    <n v="0.5"/>
    <s v="Left"/>
    <n v="2.5"/>
    <x v="0"/>
    <x v="2"/>
    <x v="1"/>
    <x v="1"/>
  </r>
  <r>
    <n v="151"/>
    <x v="2"/>
    <x v="2"/>
    <n v="4"/>
    <n v="-38"/>
    <n v="1"/>
    <s v="L"/>
    <x v="0"/>
    <m/>
    <x v="1"/>
    <x v="1"/>
    <x v="2"/>
    <n v="1"/>
    <m/>
    <x v="3"/>
    <n v="1"/>
    <n v="0.5"/>
    <s v="Left"/>
    <n v="2.5"/>
    <x v="0"/>
    <x v="2"/>
    <x v="4"/>
    <x v="1"/>
  </r>
  <r>
    <n v="152"/>
    <x v="3"/>
    <x v="3"/>
    <n v="3"/>
    <n v="-39"/>
    <n v="7"/>
    <s v="L"/>
    <x v="0"/>
    <m/>
    <x v="1"/>
    <x v="0"/>
    <x v="2"/>
    <n v="1"/>
    <m/>
    <x v="3"/>
    <n v="7"/>
    <n v="2.5"/>
    <s v="Right"/>
    <n v="2.5"/>
    <x v="0"/>
    <x v="1"/>
    <x v="5"/>
    <x v="1"/>
  </r>
  <r>
    <n v="153"/>
    <x v="1"/>
    <x v="1"/>
    <n v="10"/>
    <n v="-46"/>
    <n v="3"/>
    <s v="M"/>
    <x v="0"/>
    <m/>
    <x v="1"/>
    <x v="0"/>
    <x v="2"/>
    <n v="1"/>
    <m/>
    <x v="3"/>
    <n v="3"/>
    <n v="2.5"/>
    <s v="Right"/>
    <n v="2.5"/>
    <x v="0"/>
    <x v="0"/>
    <x v="1"/>
    <x v="1"/>
  </r>
  <r>
    <n v="154"/>
    <x v="2"/>
    <x v="2"/>
    <n v="7"/>
    <n v="-49"/>
    <n v="5"/>
    <s v="M"/>
    <x v="0"/>
    <m/>
    <x v="1"/>
    <x v="1"/>
    <x v="2"/>
    <n v="1"/>
    <m/>
    <x v="3"/>
    <n v="5"/>
    <n v="0.5"/>
    <s v="Left"/>
    <n v="2.5"/>
    <x v="0"/>
    <x v="0"/>
    <x v="4"/>
    <x v="1"/>
  </r>
  <r>
    <n v="155"/>
    <x v="3"/>
    <x v="3"/>
    <n v="2"/>
    <n v="46"/>
    <n v="0"/>
    <s v="L"/>
    <x v="0"/>
    <m/>
    <x v="1"/>
    <x v="1"/>
    <x v="2"/>
    <n v="1"/>
    <m/>
    <x v="3"/>
    <n v="0"/>
    <n v="0.5"/>
    <s v="Left"/>
    <n v="2.5"/>
    <x v="0"/>
    <x v="2"/>
    <x v="5"/>
    <x v="2"/>
  </r>
  <r>
    <n v="2"/>
    <x v="1"/>
    <x v="1"/>
    <n v="10"/>
    <n v="-35"/>
    <n v="14"/>
    <s v="R"/>
    <x v="0"/>
    <m/>
    <x v="1"/>
    <x v="1"/>
    <x v="2"/>
    <n v="1"/>
    <m/>
    <x v="3"/>
    <n v="14"/>
    <n v="0.5"/>
    <s v="Left"/>
    <n v="2.5"/>
    <x v="0"/>
    <x v="1"/>
    <x v="1"/>
    <x v="1"/>
  </r>
  <r>
    <n v="3"/>
    <x v="1"/>
    <x v="1"/>
    <n v="10"/>
    <n v="-49"/>
    <n v="4"/>
    <s v="L"/>
    <x v="0"/>
    <m/>
    <x v="1"/>
    <x v="1"/>
    <x v="2"/>
    <n v="1"/>
    <m/>
    <x v="3"/>
    <n v="4"/>
    <n v="0.5"/>
    <s v="Left"/>
    <n v="2.5"/>
    <x v="0"/>
    <x v="2"/>
    <x v="1"/>
    <x v="1"/>
  </r>
  <r>
    <n v="4"/>
    <x v="2"/>
    <x v="2"/>
    <n v="6"/>
    <n v="47"/>
    <n v="3"/>
    <s v="L"/>
    <x v="0"/>
    <m/>
    <x v="1"/>
    <x v="0"/>
    <x v="2"/>
    <n v="1"/>
    <m/>
    <x v="3"/>
    <n v="3"/>
    <n v="2.5"/>
    <s v="Right"/>
    <n v="2.5"/>
    <x v="0"/>
    <x v="1"/>
    <x v="4"/>
    <x v="2"/>
  </r>
  <r>
    <n v="5"/>
    <x v="3"/>
    <x v="3"/>
    <n v="3"/>
    <n v="44"/>
    <n v="5"/>
    <s v="R"/>
    <x v="0"/>
    <m/>
    <x v="1"/>
    <x v="0"/>
    <x v="2"/>
    <n v="1"/>
    <m/>
    <x v="3"/>
    <n v="5"/>
    <n v="2.5"/>
    <s v="Right"/>
    <n v="2.5"/>
    <x v="0"/>
    <x v="2"/>
    <x v="5"/>
    <x v="2"/>
  </r>
  <r>
    <n v="7"/>
    <x v="1"/>
    <x v="1"/>
    <n v="15"/>
    <n v="44"/>
    <n v="23"/>
    <s v="R"/>
    <x v="0"/>
    <m/>
    <x v="0"/>
    <x v="1"/>
    <x v="0"/>
    <n v="1"/>
    <n v="1"/>
    <x v="2"/>
    <n v="23"/>
    <n v="0.5"/>
    <s v="Left"/>
    <n v="2.5"/>
    <x v="0"/>
    <x v="1"/>
    <x v="1"/>
    <x v="2"/>
  </r>
  <r>
    <n v="8"/>
    <x v="1"/>
    <x v="1"/>
    <n v="10"/>
    <n v="21"/>
    <n v="0"/>
    <s v="L"/>
    <x v="0"/>
    <m/>
    <x v="0"/>
    <x v="0"/>
    <x v="0"/>
    <n v="1"/>
    <n v="0"/>
    <x v="3"/>
    <n v="0"/>
    <n v="2.5"/>
    <s v="Right"/>
    <n v="2.5"/>
    <x v="0"/>
    <x v="1"/>
    <x v="1"/>
    <x v="2"/>
  </r>
  <r>
    <n v="9"/>
    <x v="2"/>
    <x v="2"/>
    <n v="10"/>
    <n v="21"/>
    <n v="1"/>
    <s v="L"/>
    <x v="0"/>
    <m/>
    <x v="1"/>
    <x v="0"/>
    <x v="2"/>
    <n v="1"/>
    <m/>
    <x v="3"/>
    <n v="1"/>
    <n v="2.5"/>
    <s v="Right"/>
    <n v="2.5"/>
    <x v="0"/>
    <x v="1"/>
    <x v="2"/>
    <x v="2"/>
  </r>
  <r>
    <n v="11"/>
    <x v="4"/>
    <x v="4"/>
    <n v="4"/>
    <n v="15"/>
    <n v="4"/>
    <s v="L"/>
    <x v="0"/>
    <m/>
    <x v="1"/>
    <x v="1"/>
    <x v="2"/>
    <n v="1"/>
    <m/>
    <x v="3"/>
    <n v="4"/>
    <n v="0.5"/>
    <s v="Left"/>
    <n v="2.5"/>
    <x v="0"/>
    <x v="2"/>
    <x v="9"/>
    <x v="4"/>
  </r>
  <r>
    <n v="12"/>
    <x v="1"/>
    <x v="1"/>
    <n v="10"/>
    <n v="11"/>
    <n v="1"/>
    <s v="L"/>
    <x v="0"/>
    <m/>
    <x v="1"/>
    <x v="1"/>
    <x v="2"/>
    <n v="1"/>
    <m/>
    <x v="3"/>
    <n v="1"/>
    <n v="0.5"/>
    <s v="Left"/>
    <n v="2.5"/>
    <x v="0"/>
    <x v="2"/>
    <x v="1"/>
    <x v="4"/>
  </r>
  <r>
    <n v="13"/>
    <x v="2"/>
    <x v="2"/>
    <n v="9"/>
    <n v="10"/>
    <n v="0"/>
    <s v="L"/>
    <x v="0"/>
    <m/>
    <x v="0"/>
    <x v="0"/>
    <x v="0"/>
    <n v="1"/>
    <n v="0"/>
    <x v="3"/>
    <n v="0"/>
    <n v="2.5"/>
    <s v="Right"/>
    <n v="2.5"/>
    <x v="0"/>
    <x v="1"/>
    <x v="2"/>
    <x v="4"/>
  </r>
  <r>
    <n v="14"/>
    <x v="3"/>
    <x v="3"/>
    <n v="9"/>
    <n v="10"/>
    <n v="2"/>
    <s v="L"/>
    <x v="0"/>
    <m/>
    <x v="1"/>
    <x v="0"/>
    <x v="2"/>
    <n v="1"/>
    <m/>
    <x v="3"/>
    <n v="2"/>
    <n v="2.5"/>
    <s v="Right"/>
    <n v="2.5"/>
    <x v="0"/>
    <x v="1"/>
    <x v="3"/>
    <x v="4"/>
  </r>
  <r>
    <n v="22"/>
    <x v="1"/>
    <x v="1"/>
    <n v="10"/>
    <n v="-45"/>
    <n v="8"/>
    <s v="L"/>
    <x v="0"/>
    <m/>
    <x v="0"/>
    <x v="0"/>
    <x v="0"/>
    <n v="1"/>
    <n v="1"/>
    <x v="1"/>
    <n v="8"/>
    <n v="2.5"/>
    <s v="Right"/>
    <n v="1.5"/>
    <x v="0"/>
    <x v="1"/>
    <x v="1"/>
    <x v="1"/>
  </r>
  <r>
    <n v="23"/>
    <x v="2"/>
    <x v="2"/>
    <n v="2"/>
    <n v="47"/>
    <n v="4"/>
    <s v="R"/>
    <x v="0"/>
    <m/>
    <x v="1"/>
    <x v="0"/>
    <x v="2"/>
    <n v="1"/>
    <m/>
    <x v="3"/>
    <n v="4"/>
    <n v="2.5"/>
    <s v="Right"/>
    <n v="2.5"/>
    <x v="0"/>
    <x v="2"/>
    <x v="7"/>
    <x v="2"/>
  </r>
  <r>
    <n v="24"/>
    <x v="1"/>
    <x v="1"/>
    <n v="10"/>
    <n v="43"/>
    <n v="3"/>
    <s v="R"/>
    <x v="0"/>
    <m/>
    <x v="1"/>
    <x v="0"/>
    <x v="2"/>
    <n v="1"/>
    <m/>
    <x v="3"/>
    <n v="3"/>
    <n v="2.5"/>
    <s v="Right"/>
    <n v="2.5"/>
    <x v="0"/>
    <x v="2"/>
    <x v="1"/>
    <x v="2"/>
  </r>
  <r>
    <n v="25"/>
    <x v="2"/>
    <x v="2"/>
    <n v="7"/>
    <n v="40"/>
    <n v="1"/>
    <s v="R"/>
    <x v="0"/>
    <m/>
    <x v="1"/>
    <x v="1"/>
    <x v="2"/>
    <n v="1"/>
    <m/>
    <x v="3"/>
    <n v="1"/>
    <n v="0.5"/>
    <s v="Left"/>
    <n v="2.5"/>
    <x v="0"/>
    <x v="1"/>
    <x v="4"/>
    <x v="2"/>
  </r>
  <r>
    <n v="26"/>
    <x v="3"/>
    <x v="3"/>
    <n v="6"/>
    <n v="39"/>
    <n v="0"/>
    <s v="M"/>
    <x v="0"/>
    <m/>
    <x v="0"/>
    <x v="0"/>
    <x v="0"/>
    <n v="1"/>
    <n v="0"/>
    <x v="3"/>
    <n v="0"/>
    <n v="2.5"/>
    <s v="Right"/>
    <n v="2.5"/>
    <x v="0"/>
    <x v="0"/>
    <x v="6"/>
    <x v="2"/>
  </r>
  <r>
    <n v="35"/>
    <x v="1"/>
    <x v="1"/>
    <n v="10"/>
    <n v="-40"/>
    <n v="2"/>
    <s v="L"/>
    <x v="0"/>
    <m/>
    <x v="1"/>
    <x v="0"/>
    <x v="2"/>
    <n v="1"/>
    <m/>
    <x v="3"/>
    <n v="2"/>
    <n v="2.5"/>
    <s v="Right"/>
    <n v="2.5"/>
    <x v="0"/>
    <x v="1"/>
    <x v="1"/>
    <x v="1"/>
  </r>
  <r>
    <n v="36"/>
    <x v="2"/>
    <x v="2"/>
    <n v="8"/>
    <n v="-42"/>
    <n v="2"/>
    <s v="R"/>
    <x v="0"/>
    <m/>
    <x v="1"/>
    <x v="1"/>
    <x v="2"/>
    <n v="1"/>
    <m/>
    <x v="3"/>
    <n v="2"/>
    <n v="0.5"/>
    <s v="Left"/>
    <n v="2.5"/>
    <x v="0"/>
    <x v="1"/>
    <x v="2"/>
    <x v="1"/>
  </r>
  <r>
    <n v="37"/>
    <x v="3"/>
    <x v="3"/>
    <n v="6"/>
    <n v="-44"/>
    <n v="-7"/>
    <s v="R"/>
    <x v="0"/>
    <m/>
    <x v="0"/>
    <x v="2"/>
    <x v="0"/>
    <n v="1"/>
    <n v="0"/>
    <x v="0"/>
    <n v="-7"/>
    <n v="1.5"/>
    <s v="Middle"/>
    <n v="0.5"/>
    <x v="0"/>
    <x v="0"/>
    <x v="6"/>
    <x v="1"/>
  </r>
  <r>
    <n v="46"/>
    <x v="1"/>
    <x v="1"/>
    <n v="10"/>
    <n v="-32"/>
    <n v="0"/>
    <s v="L"/>
    <x v="0"/>
    <m/>
    <x v="0"/>
    <x v="0"/>
    <x v="0"/>
    <n v="1"/>
    <n v="0"/>
    <x v="3"/>
    <n v="0"/>
    <n v="2.5"/>
    <s v="Right"/>
    <n v="2.5"/>
    <x v="0"/>
    <x v="1"/>
    <x v="1"/>
    <x v="1"/>
  </r>
  <r>
    <n v="47"/>
    <x v="2"/>
    <x v="2"/>
    <n v="10"/>
    <n v="-32"/>
    <n v="16"/>
    <s v="L"/>
    <x v="0"/>
    <m/>
    <x v="1"/>
    <x v="0"/>
    <x v="2"/>
    <n v="1"/>
    <m/>
    <x v="3"/>
    <n v="16"/>
    <n v="2.5"/>
    <s v="Right"/>
    <n v="2.5"/>
    <x v="0"/>
    <x v="1"/>
    <x v="2"/>
    <x v="1"/>
  </r>
  <r>
    <n v="48"/>
    <x v="1"/>
    <x v="1"/>
    <n v="10"/>
    <n v="-48"/>
    <n v="8"/>
    <s v="L"/>
    <x v="0"/>
    <m/>
    <x v="1"/>
    <x v="1"/>
    <x v="2"/>
    <n v="1"/>
    <m/>
    <x v="3"/>
    <n v="8"/>
    <n v="0.5"/>
    <s v="Left"/>
    <n v="2.5"/>
    <x v="0"/>
    <x v="2"/>
    <x v="1"/>
    <x v="1"/>
  </r>
  <r>
    <n v="49"/>
    <x v="2"/>
    <x v="2"/>
    <n v="2"/>
    <n v="44"/>
    <n v="14"/>
    <s v="L"/>
    <x v="0"/>
    <m/>
    <x v="1"/>
    <x v="1"/>
    <x v="2"/>
    <n v="1"/>
    <m/>
    <x v="3"/>
    <n v="14"/>
    <n v="0.5"/>
    <s v="Left"/>
    <n v="2.5"/>
    <x v="0"/>
    <x v="2"/>
    <x v="7"/>
    <x v="2"/>
  </r>
  <r>
    <n v="50"/>
    <x v="1"/>
    <x v="1"/>
    <n v="10"/>
    <n v="30"/>
    <n v="3"/>
    <s v="L"/>
    <x v="0"/>
    <m/>
    <x v="1"/>
    <x v="1"/>
    <x v="2"/>
    <n v="1"/>
    <m/>
    <x v="3"/>
    <n v="3"/>
    <n v="0.5"/>
    <s v="Left"/>
    <n v="2.5"/>
    <x v="0"/>
    <x v="2"/>
    <x v="1"/>
    <x v="2"/>
  </r>
  <r>
    <n v="51"/>
    <x v="2"/>
    <x v="2"/>
    <n v="7"/>
    <n v="27"/>
    <n v="17"/>
    <s v="L"/>
    <x v="0"/>
    <m/>
    <x v="1"/>
    <x v="0"/>
    <x v="2"/>
    <n v="1"/>
    <m/>
    <x v="3"/>
    <n v="17"/>
    <n v="2.5"/>
    <s v="Right"/>
    <n v="2.5"/>
    <x v="0"/>
    <x v="1"/>
    <x v="4"/>
    <x v="2"/>
  </r>
  <r>
    <n v="52"/>
    <x v="1"/>
    <x v="1"/>
    <n v="10"/>
    <n v="10"/>
    <n v="-3"/>
    <s v="R"/>
    <x v="0"/>
    <m/>
    <x v="1"/>
    <x v="1"/>
    <x v="2"/>
    <n v="1"/>
    <m/>
    <x v="3"/>
    <n v="-3"/>
    <n v="0.5"/>
    <s v="Left"/>
    <n v="2.5"/>
    <x v="0"/>
    <x v="1"/>
    <x v="1"/>
    <x v="4"/>
  </r>
  <r>
    <n v="53"/>
    <x v="2"/>
    <x v="2"/>
    <n v="13"/>
    <n v="13"/>
    <n v="0"/>
    <s v="L"/>
    <x v="0"/>
    <m/>
    <x v="0"/>
    <x v="0"/>
    <x v="0"/>
    <n v="1"/>
    <n v="0"/>
    <x v="3"/>
    <n v="0"/>
    <n v="2.5"/>
    <s v="Right"/>
    <n v="2.5"/>
    <x v="0"/>
    <x v="1"/>
    <x v="2"/>
    <x v="4"/>
  </r>
  <r>
    <n v="54"/>
    <x v="3"/>
    <x v="3"/>
    <n v="13"/>
    <n v="13"/>
    <n v="1"/>
    <s v="L"/>
    <x v="0"/>
    <m/>
    <x v="1"/>
    <x v="0"/>
    <x v="2"/>
    <n v="1"/>
    <m/>
    <x v="3"/>
    <n v="1"/>
    <n v="2.5"/>
    <s v="Right"/>
    <n v="2.5"/>
    <x v="0"/>
    <x v="1"/>
    <x v="3"/>
    <x v="4"/>
  </r>
  <r>
    <n v="68"/>
    <x v="2"/>
    <x v="2"/>
    <n v="15"/>
    <n v="-24"/>
    <n v="0"/>
    <s v="M"/>
    <x v="0"/>
    <m/>
    <x v="0"/>
    <x v="1"/>
    <x v="0"/>
    <n v="1"/>
    <n v="0"/>
    <x v="3"/>
    <n v="0"/>
    <n v="0.5"/>
    <s v="Left"/>
    <n v="2.5"/>
    <x v="0"/>
    <x v="0"/>
    <x v="2"/>
    <x v="1"/>
  </r>
  <r>
    <n v="69"/>
    <x v="3"/>
    <x v="3"/>
    <n v="16"/>
    <n v="-23"/>
    <n v="2"/>
    <s v="M"/>
    <x v="0"/>
    <m/>
    <x v="1"/>
    <x v="0"/>
    <x v="2"/>
    <n v="1"/>
    <m/>
    <x v="3"/>
    <n v="2"/>
    <n v="2.5"/>
    <s v="Right"/>
    <n v="2.5"/>
    <x v="0"/>
    <x v="0"/>
    <x v="3"/>
    <x v="1"/>
  </r>
  <r>
    <n v="70"/>
    <x v="4"/>
    <x v="4"/>
    <n v="14"/>
    <n v="-25"/>
    <n v="0"/>
    <s v="M"/>
    <x v="0"/>
    <m/>
    <x v="0"/>
    <x v="1"/>
    <x v="0"/>
    <n v="1"/>
    <n v="0"/>
    <x v="3"/>
    <n v="0"/>
    <n v="0.5"/>
    <s v="Left"/>
    <n v="2.5"/>
    <x v="0"/>
    <x v="0"/>
    <x v="9"/>
    <x v="1"/>
  </r>
  <r>
    <n v="76"/>
    <x v="1"/>
    <x v="1"/>
    <n v="10"/>
    <n v="-26"/>
    <n v="-5"/>
    <s v="R"/>
    <x v="0"/>
    <m/>
    <x v="0"/>
    <x v="2"/>
    <x v="0"/>
    <n v="1"/>
    <n v="0"/>
    <x v="0"/>
    <n v="-5"/>
    <n v="1.5"/>
    <s v="Middle"/>
    <n v="0.5"/>
    <x v="0"/>
    <x v="0"/>
    <x v="1"/>
    <x v="1"/>
  </r>
  <r>
    <n v="77"/>
    <x v="2"/>
    <x v="2"/>
    <n v="15"/>
    <n v="-21"/>
    <n v="0"/>
    <s v="M"/>
    <x v="0"/>
    <m/>
    <x v="0"/>
    <x v="0"/>
    <x v="0"/>
    <n v="1"/>
    <n v="0"/>
    <x v="3"/>
    <n v="0"/>
    <n v="2.5"/>
    <s v="Right"/>
    <n v="2.5"/>
    <x v="0"/>
    <x v="0"/>
    <x v="2"/>
    <x v="1"/>
  </r>
  <r>
    <n v="81"/>
    <x v="1"/>
    <x v="1"/>
    <n v="10"/>
    <n v="-40"/>
    <n v="3"/>
    <s v="M"/>
    <x v="0"/>
    <m/>
    <x v="1"/>
    <x v="0"/>
    <x v="2"/>
    <n v="1"/>
    <m/>
    <x v="3"/>
    <n v="3"/>
    <n v="2.5"/>
    <s v="Right"/>
    <n v="2.5"/>
    <x v="0"/>
    <x v="0"/>
    <x v="1"/>
    <x v="1"/>
  </r>
  <r>
    <n v="83"/>
    <x v="2"/>
    <x v="2"/>
    <n v="7"/>
    <n v="-43"/>
    <n v="0"/>
    <s v="R"/>
    <x v="0"/>
    <m/>
    <x v="0"/>
    <x v="1"/>
    <x v="0"/>
    <n v="1"/>
    <n v="0"/>
    <x v="3"/>
    <n v="0"/>
    <n v="0.5"/>
    <s v="Left"/>
    <n v="2.5"/>
    <x v="0"/>
    <x v="1"/>
    <x v="4"/>
    <x v="1"/>
  </r>
  <r>
    <n v="84"/>
    <x v="3"/>
    <x v="3"/>
    <n v="13"/>
    <n v="-43"/>
    <n v="-10"/>
    <s v="R"/>
    <x v="0"/>
    <m/>
    <x v="0"/>
    <x v="2"/>
    <x v="0"/>
    <n v="1"/>
    <n v="0"/>
    <x v="0"/>
    <n v="-10"/>
    <n v="1.5"/>
    <s v="Middle"/>
    <n v="0.5"/>
    <x v="0"/>
    <x v="0"/>
    <x v="3"/>
    <x v="1"/>
  </r>
  <r>
    <n v="102"/>
    <x v="2"/>
    <x v="2"/>
    <n v="14"/>
    <n v="-28"/>
    <n v="2"/>
    <s v="M"/>
    <x v="0"/>
    <m/>
    <x v="1"/>
    <x v="1"/>
    <x v="2"/>
    <n v="1"/>
    <m/>
    <x v="3"/>
    <n v="2"/>
    <n v="0.5"/>
    <s v="Left"/>
    <n v="2.5"/>
    <x v="0"/>
    <x v="0"/>
    <x v="2"/>
    <x v="1"/>
  </r>
  <r>
    <n v="103"/>
    <x v="3"/>
    <x v="3"/>
    <n v="12"/>
    <n v="-30"/>
    <n v="2"/>
    <s v="M"/>
    <x v="0"/>
    <m/>
    <x v="1"/>
    <x v="0"/>
    <x v="2"/>
    <n v="1"/>
    <m/>
    <x v="3"/>
    <n v="2"/>
    <n v="2.5"/>
    <s v="Right"/>
    <n v="2.5"/>
    <x v="0"/>
    <x v="0"/>
    <x v="3"/>
    <x v="1"/>
  </r>
  <r>
    <n v="104"/>
    <x v="4"/>
    <x v="4"/>
    <n v="10"/>
    <n v="-32"/>
    <n v="68"/>
    <s v="M"/>
    <x v="0"/>
    <m/>
    <x v="1"/>
    <x v="0"/>
    <x v="3"/>
    <n v="1"/>
    <m/>
    <x v="3"/>
    <n v="68"/>
    <n v="2.5"/>
    <s v="Right"/>
    <n v="2.5"/>
    <x v="0"/>
    <x v="0"/>
    <x v="9"/>
    <x v="1"/>
  </r>
  <r>
    <n v="114"/>
    <x v="1"/>
    <x v="1"/>
    <n v="10"/>
    <n v="50"/>
    <n v="7"/>
    <s v="R"/>
    <x v="0"/>
    <m/>
    <x v="1"/>
    <x v="0"/>
    <x v="2"/>
    <n v="1"/>
    <m/>
    <x v="3"/>
    <n v="7"/>
    <n v="2.5"/>
    <s v="Right"/>
    <n v="2.5"/>
    <x v="0"/>
    <x v="2"/>
    <x v="1"/>
    <x v="2"/>
  </r>
  <r>
    <n v="115"/>
    <x v="2"/>
    <x v="2"/>
    <n v="3"/>
    <n v="43"/>
    <n v="2"/>
    <s v="R"/>
    <x v="0"/>
    <m/>
    <x v="1"/>
    <x v="0"/>
    <x v="2"/>
    <n v="1"/>
    <m/>
    <x v="3"/>
    <n v="2"/>
    <n v="2.5"/>
    <s v="Right"/>
    <n v="2.5"/>
    <x v="0"/>
    <x v="2"/>
    <x v="7"/>
    <x v="2"/>
  </r>
  <r>
    <n v="117"/>
    <x v="3"/>
    <x v="3"/>
    <n v="6"/>
    <n v="46"/>
    <n v="-1"/>
    <s v="R"/>
    <x v="0"/>
    <m/>
    <x v="0"/>
    <x v="2"/>
    <x v="0"/>
    <n v="1"/>
    <n v="0"/>
    <x v="0"/>
    <n v="-1"/>
    <n v="1.5"/>
    <s v="Middle"/>
    <n v="0.5"/>
    <x v="0"/>
    <x v="0"/>
    <x v="6"/>
    <x v="2"/>
  </r>
  <r>
    <n v="134"/>
    <x v="1"/>
    <x v="1"/>
    <n v="10"/>
    <n v="-20"/>
    <n v="7"/>
    <s v="R"/>
    <x v="0"/>
    <m/>
    <x v="1"/>
    <x v="1"/>
    <x v="2"/>
    <n v="1"/>
    <m/>
    <x v="3"/>
    <n v="7"/>
    <n v="0.5"/>
    <s v="Left"/>
    <n v="2.5"/>
    <x v="0"/>
    <x v="1"/>
    <x v="1"/>
    <x v="3"/>
  </r>
  <r>
    <n v="135"/>
    <x v="2"/>
    <x v="2"/>
    <n v="3"/>
    <n v="-27"/>
    <n v="8"/>
    <s v="R"/>
    <x v="0"/>
    <m/>
    <x v="1"/>
    <x v="0"/>
    <x v="2"/>
    <n v="1"/>
    <m/>
    <x v="3"/>
    <n v="8"/>
    <n v="2.5"/>
    <s v="Right"/>
    <n v="2.5"/>
    <x v="0"/>
    <x v="2"/>
    <x v="7"/>
    <x v="1"/>
  </r>
  <r>
    <n v="136"/>
    <x v="1"/>
    <x v="1"/>
    <n v="10"/>
    <n v="-35"/>
    <n v="30"/>
    <s v="R"/>
    <x v="0"/>
    <m/>
    <x v="1"/>
    <x v="0"/>
    <x v="2"/>
    <n v="1"/>
    <m/>
    <x v="3"/>
    <n v="30"/>
    <n v="2.5"/>
    <s v="Right"/>
    <n v="2.5"/>
    <x v="0"/>
    <x v="2"/>
    <x v="1"/>
    <x v="1"/>
  </r>
  <r>
    <n v="137"/>
    <x v="1"/>
    <x v="1"/>
    <n v="10"/>
    <n v="35"/>
    <n v="-3"/>
    <s v="R"/>
    <x v="0"/>
    <m/>
    <x v="1"/>
    <x v="1"/>
    <x v="2"/>
    <n v="1"/>
    <m/>
    <x v="3"/>
    <n v="-3"/>
    <n v="0.5"/>
    <s v="Left"/>
    <n v="2.5"/>
    <x v="0"/>
    <x v="1"/>
    <x v="1"/>
    <x v="2"/>
  </r>
  <r>
    <n v="138"/>
    <x v="2"/>
    <x v="2"/>
    <n v="13"/>
    <n v="38"/>
    <n v="4"/>
    <s v="R"/>
    <x v="0"/>
    <m/>
    <x v="1"/>
    <x v="0"/>
    <x v="2"/>
    <n v="1"/>
    <m/>
    <x v="3"/>
    <n v="4"/>
    <n v="2.5"/>
    <s v="Right"/>
    <n v="2.5"/>
    <x v="0"/>
    <x v="2"/>
    <x v="2"/>
    <x v="2"/>
  </r>
  <r>
    <n v="139"/>
    <x v="3"/>
    <x v="3"/>
    <n v="9"/>
    <n v="34"/>
    <n v="0"/>
    <s v="R"/>
    <x v="0"/>
    <m/>
    <x v="0"/>
    <x v="1"/>
    <x v="0"/>
    <n v="1"/>
    <n v="0"/>
    <x v="3"/>
    <n v="0"/>
    <n v="0.5"/>
    <s v="Left"/>
    <n v="2.5"/>
    <x v="0"/>
    <x v="1"/>
    <x v="3"/>
    <x v="2"/>
  </r>
  <r>
    <n v="140"/>
    <x v="4"/>
    <x v="4"/>
    <n v="9"/>
    <n v="34"/>
    <n v="0"/>
    <s v="R"/>
    <x v="0"/>
    <m/>
    <x v="0"/>
    <x v="0"/>
    <x v="0"/>
    <n v="1"/>
    <n v="0"/>
    <x v="3"/>
    <n v="0"/>
    <n v="2.5"/>
    <s v="Right"/>
    <n v="2.5"/>
    <x v="0"/>
    <x v="2"/>
    <x v="9"/>
    <x v="2"/>
  </r>
  <r>
    <n v="155"/>
    <x v="1"/>
    <x v="1"/>
    <n v="15"/>
    <n v="-44"/>
    <n v="1"/>
    <s v="M"/>
    <x v="0"/>
    <m/>
    <x v="1"/>
    <x v="0"/>
    <x v="2"/>
    <n v="1"/>
    <m/>
    <x v="3"/>
    <n v="1"/>
    <n v="2.5"/>
    <s v="Right"/>
    <n v="2.5"/>
    <x v="0"/>
    <x v="0"/>
    <x v="1"/>
    <x v="1"/>
  </r>
  <r>
    <n v="156"/>
    <x v="2"/>
    <x v="2"/>
    <n v="14"/>
    <n v="-45"/>
    <n v="20"/>
    <s v="R"/>
    <x v="0"/>
    <m/>
    <x v="1"/>
    <x v="1"/>
    <x v="3"/>
    <n v="1"/>
    <m/>
    <x v="3"/>
    <n v="20"/>
    <n v="0.5"/>
    <s v="Left"/>
    <n v="2.5"/>
    <x v="0"/>
    <x v="1"/>
    <x v="2"/>
    <x v="1"/>
  </r>
  <r>
    <n v="158"/>
    <x v="1"/>
    <x v="1"/>
    <n v="10"/>
    <n v="35"/>
    <n v="-9"/>
    <s v="L"/>
    <x v="0"/>
    <m/>
    <x v="1"/>
    <x v="0"/>
    <x v="2"/>
    <n v="1"/>
    <m/>
    <x v="3"/>
    <n v="-9"/>
    <n v="2.5"/>
    <s v="Right"/>
    <n v="2.5"/>
    <x v="0"/>
    <x v="1"/>
    <x v="1"/>
    <x v="2"/>
  </r>
  <r>
    <n v="160"/>
    <x v="2"/>
    <x v="2"/>
    <n v="19"/>
    <n v="44"/>
    <n v="44"/>
    <s v="M"/>
    <x v="0"/>
    <m/>
    <x v="0"/>
    <x v="0"/>
    <x v="0"/>
    <n v="1"/>
    <n v="1"/>
    <x v="2"/>
    <n v="44"/>
    <n v="2.5"/>
    <s v="Right"/>
    <n v="2.5"/>
    <x v="0"/>
    <x v="0"/>
    <x v="2"/>
    <x v="2"/>
  </r>
  <r>
    <n v="3"/>
    <x v="1"/>
    <x v="1"/>
    <n v="15"/>
    <n v="-10"/>
    <n v="0"/>
    <s v="M"/>
    <x v="0"/>
    <m/>
    <x v="0"/>
    <x v="0"/>
    <x v="0"/>
    <n v="1"/>
    <n v="0"/>
    <x v="3"/>
    <n v="0"/>
    <n v="2.5"/>
    <s v="Right"/>
    <n v="2.5"/>
    <x v="0"/>
    <x v="0"/>
    <x v="1"/>
    <x v="3"/>
  </r>
  <r>
    <n v="10"/>
    <x v="1"/>
    <x v="1"/>
    <n v="10"/>
    <n v="-5"/>
    <n v="1"/>
    <s v="M"/>
    <x v="0"/>
    <m/>
    <x v="1"/>
    <x v="0"/>
    <x v="2"/>
    <n v="1"/>
    <m/>
    <x v="3"/>
    <n v="1"/>
    <n v="2.5"/>
    <s v="Right"/>
    <n v="2.5"/>
    <x v="0"/>
    <x v="0"/>
    <x v="1"/>
    <x v="3"/>
  </r>
  <r>
    <n v="11"/>
    <x v="2"/>
    <x v="2"/>
    <n v="9"/>
    <n v="-6"/>
    <n v="9"/>
    <s v="M"/>
    <x v="0"/>
    <m/>
    <x v="1"/>
    <x v="0"/>
    <x v="2"/>
    <n v="1"/>
    <m/>
    <x v="3"/>
    <n v="9"/>
    <n v="2.5"/>
    <s v="Right"/>
    <n v="2.5"/>
    <x v="0"/>
    <x v="0"/>
    <x v="2"/>
    <x v="3"/>
  </r>
  <r>
    <n v="12"/>
    <x v="1"/>
    <x v="1"/>
    <n v="10"/>
    <n v="-15"/>
    <n v="4"/>
    <s v="R"/>
    <x v="0"/>
    <m/>
    <x v="1"/>
    <x v="0"/>
    <x v="2"/>
    <n v="1"/>
    <m/>
    <x v="3"/>
    <n v="4"/>
    <n v="2.5"/>
    <s v="Right"/>
    <n v="2.5"/>
    <x v="0"/>
    <x v="2"/>
    <x v="1"/>
    <x v="3"/>
  </r>
  <r>
    <n v="14"/>
    <x v="2"/>
    <x v="2"/>
    <n v="10"/>
    <n v="-44"/>
    <n v="1"/>
    <s v="R"/>
    <x v="0"/>
    <m/>
    <x v="1"/>
    <x v="0"/>
    <x v="2"/>
    <n v="1"/>
    <m/>
    <x v="3"/>
    <n v="1"/>
    <n v="2.5"/>
    <s v="Right"/>
    <n v="2.5"/>
    <x v="0"/>
    <x v="2"/>
    <x v="2"/>
    <x v="1"/>
  </r>
  <r>
    <n v="16"/>
    <x v="2"/>
    <x v="2"/>
    <n v="14"/>
    <n v="-40"/>
    <n v="6"/>
    <s v="R"/>
    <x v="0"/>
    <m/>
    <x v="1"/>
    <x v="0"/>
    <x v="2"/>
    <n v="1"/>
    <m/>
    <x v="3"/>
    <n v="6"/>
    <n v="2.5"/>
    <s v="Right"/>
    <n v="2.5"/>
    <x v="1"/>
    <x v="2"/>
    <x v="10"/>
    <x v="1"/>
  </r>
  <r>
    <n v="18"/>
    <x v="1"/>
    <x v="1"/>
    <n v="10"/>
    <n v="44"/>
    <n v="-3"/>
    <s v="R"/>
    <x v="0"/>
    <m/>
    <x v="1"/>
    <x v="1"/>
    <x v="2"/>
    <n v="1"/>
    <m/>
    <x v="3"/>
    <n v="-3"/>
    <n v="0.5"/>
    <s v="Left"/>
    <n v="2.5"/>
    <x v="1"/>
    <x v="1"/>
    <x v="10"/>
    <x v="2"/>
  </r>
  <r>
    <n v="19"/>
    <x v="2"/>
    <x v="2"/>
    <n v="13"/>
    <n v="47"/>
    <n v="-1"/>
    <s v="M"/>
    <x v="0"/>
    <m/>
    <x v="1"/>
    <x v="0"/>
    <x v="2"/>
    <n v="1"/>
    <m/>
    <x v="3"/>
    <n v="-1"/>
    <n v="2.5"/>
    <s v="Right"/>
    <n v="2.5"/>
    <x v="1"/>
    <x v="0"/>
    <x v="10"/>
    <x v="2"/>
  </r>
  <r>
    <n v="20"/>
    <x v="3"/>
    <x v="3"/>
    <n v="14"/>
    <n v="48"/>
    <n v="0"/>
    <s v="M"/>
    <x v="0"/>
    <m/>
    <x v="0"/>
    <x v="0"/>
    <x v="0"/>
    <n v="1"/>
    <n v="0"/>
    <x v="3"/>
    <n v="0"/>
    <n v="2.5"/>
    <s v="Right"/>
    <n v="2.5"/>
    <x v="1"/>
    <x v="0"/>
    <x v="10"/>
    <x v="2"/>
  </r>
  <r>
    <n v="38"/>
    <x v="1"/>
    <x v="1"/>
    <n v="10"/>
    <n v="-21"/>
    <n v="11"/>
    <s v="M"/>
    <x v="0"/>
    <m/>
    <x v="1"/>
    <x v="0"/>
    <x v="2"/>
    <n v="1"/>
    <m/>
    <x v="3"/>
    <n v="11"/>
    <n v="2.5"/>
    <s v="Right"/>
    <n v="2.5"/>
    <x v="1"/>
    <x v="0"/>
    <x v="10"/>
    <x v="1"/>
  </r>
  <r>
    <n v="40"/>
    <x v="1"/>
    <x v="1"/>
    <n v="15"/>
    <n v="-27"/>
    <n v="5"/>
    <s v="R"/>
    <x v="0"/>
    <m/>
    <x v="1"/>
    <x v="1"/>
    <x v="2"/>
    <n v="1"/>
    <m/>
    <x v="3"/>
    <n v="5"/>
    <n v="0.5"/>
    <s v="Left"/>
    <n v="2.5"/>
    <x v="1"/>
    <x v="1"/>
    <x v="10"/>
    <x v="1"/>
  </r>
  <r>
    <n v="41"/>
    <x v="2"/>
    <x v="2"/>
    <n v="10"/>
    <n v="-32"/>
    <n v="3"/>
    <s v="M"/>
    <x v="0"/>
    <m/>
    <x v="1"/>
    <x v="1"/>
    <x v="2"/>
    <n v="1"/>
    <m/>
    <x v="3"/>
    <n v="3"/>
    <n v="0.5"/>
    <s v="Left"/>
    <n v="2.5"/>
    <x v="1"/>
    <x v="0"/>
    <x v="10"/>
    <x v="1"/>
  </r>
  <r>
    <n v="43"/>
    <x v="2"/>
    <x v="2"/>
    <n v="7"/>
    <n v="-35"/>
    <n v="65"/>
    <s v="M"/>
    <x v="0"/>
    <m/>
    <x v="1"/>
    <x v="1"/>
    <x v="2"/>
    <n v="1"/>
    <m/>
    <x v="3"/>
    <n v="65"/>
    <n v="0.5"/>
    <s v="Left"/>
    <n v="2.5"/>
    <x v="1"/>
    <x v="0"/>
    <x v="10"/>
    <x v="1"/>
  </r>
  <r>
    <n v="59"/>
    <x v="1"/>
    <x v="1"/>
    <n v="21"/>
    <n v="-31"/>
    <n v="8"/>
    <s v="L"/>
    <x v="0"/>
    <m/>
    <x v="0"/>
    <x v="0"/>
    <x v="0"/>
    <n v="1"/>
    <n v="1"/>
    <x v="1"/>
    <n v="8"/>
    <n v="2.5"/>
    <s v="Right"/>
    <n v="1.5"/>
    <x v="1"/>
    <x v="1"/>
    <x v="10"/>
    <x v="1"/>
  </r>
  <r>
    <n v="60"/>
    <x v="2"/>
    <x v="2"/>
    <n v="13"/>
    <n v="-39"/>
    <n v="24"/>
    <s v="R"/>
    <x v="0"/>
    <m/>
    <x v="1"/>
    <x v="0"/>
    <x v="2"/>
    <n v="1"/>
    <m/>
    <x v="3"/>
    <n v="24"/>
    <n v="2.5"/>
    <s v="Right"/>
    <n v="2.5"/>
    <x v="1"/>
    <x v="2"/>
    <x v="10"/>
    <x v="1"/>
  </r>
  <r>
    <n v="61"/>
    <x v="1"/>
    <x v="1"/>
    <n v="10"/>
    <n v="37"/>
    <n v="3"/>
    <s v="R"/>
    <x v="0"/>
    <m/>
    <x v="1"/>
    <x v="0"/>
    <x v="2"/>
    <n v="1"/>
    <m/>
    <x v="3"/>
    <n v="3"/>
    <n v="2.5"/>
    <s v="Right"/>
    <n v="2.5"/>
    <x v="1"/>
    <x v="2"/>
    <x v="10"/>
    <x v="2"/>
  </r>
  <r>
    <n v="62"/>
    <x v="2"/>
    <x v="2"/>
    <n v="7"/>
    <n v="34"/>
    <n v="18"/>
    <s v="R"/>
    <x v="0"/>
    <m/>
    <x v="1"/>
    <x v="1"/>
    <x v="2"/>
    <n v="1"/>
    <m/>
    <x v="3"/>
    <n v="18"/>
    <n v="0.5"/>
    <s v="Left"/>
    <n v="2.5"/>
    <x v="1"/>
    <x v="1"/>
    <x v="10"/>
    <x v="2"/>
  </r>
  <r>
    <n v="63"/>
    <x v="1"/>
    <x v="1"/>
    <n v="10"/>
    <n v="16"/>
    <n v="0"/>
    <s v="L"/>
    <x v="0"/>
    <m/>
    <x v="1"/>
    <x v="1"/>
    <x v="2"/>
    <n v="1"/>
    <m/>
    <x v="3"/>
    <n v="0"/>
    <n v="0.5"/>
    <s v="Left"/>
    <n v="2.5"/>
    <x v="1"/>
    <x v="2"/>
    <x v="10"/>
    <x v="4"/>
  </r>
  <r>
    <n v="64"/>
    <x v="2"/>
    <x v="2"/>
    <n v="10"/>
    <n v="16"/>
    <n v="11"/>
    <s v="L"/>
    <x v="0"/>
    <m/>
    <x v="1"/>
    <x v="1"/>
    <x v="2"/>
    <n v="1"/>
    <m/>
    <x v="3"/>
    <n v="11"/>
    <n v="0.5"/>
    <s v="Left"/>
    <n v="2.5"/>
    <x v="1"/>
    <x v="2"/>
    <x v="10"/>
    <x v="4"/>
  </r>
  <r>
    <n v="65"/>
    <x v="1"/>
    <x v="1"/>
    <n v="5"/>
    <n v="5"/>
    <n v="-1"/>
    <s v="L"/>
    <x v="0"/>
    <m/>
    <x v="1"/>
    <x v="0"/>
    <x v="2"/>
    <n v="1"/>
    <m/>
    <x v="3"/>
    <n v="-1"/>
    <n v="2.5"/>
    <s v="Right"/>
    <n v="2.5"/>
    <x v="1"/>
    <x v="1"/>
    <x v="10"/>
    <x v="4"/>
  </r>
  <r>
    <n v="66"/>
    <x v="2"/>
    <x v="2"/>
    <n v="6"/>
    <n v="6"/>
    <n v="0"/>
    <s v="M"/>
    <x v="0"/>
    <m/>
    <x v="0"/>
    <x v="0"/>
    <x v="0"/>
    <n v="1"/>
    <n v="0"/>
    <x v="3"/>
    <n v="0"/>
    <n v="2.5"/>
    <s v="Right"/>
    <n v="2.5"/>
    <x v="1"/>
    <x v="0"/>
    <x v="10"/>
    <x v="4"/>
  </r>
  <r>
    <n v="69"/>
    <x v="4"/>
    <x v="4"/>
    <n v="11"/>
    <n v="11"/>
    <n v="11"/>
    <s v="M"/>
    <x v="0"/>
    <m/>
    <x v="0"/>
    <x v="0"/>
    <x v="0"/>
    <n v="1"/>
    <n v="1"/>
    <x v="1"/>
    <n v="11"/>
    <n v="2.5"/>
    <s v="Right"/>
    <n v="1.5"/>
    <x v="1"/>
    <x v="0"/>
    <x v="10"/>
    <x v="4"/>
  </r>
  <r>
    <n v="89"/>
    <x v="1"/>
    <x v="1"/>
    <n v="10"/>
    <n v="-25"/>
    <n v="-2"/>
    <s v="M"/>
    <x v="0"/>
    <m/>
    <x v="1"/>
    <x v="1"/>
    <x v="2"/>
    <n v="1"/>
    <m/>
    <x v="3"/>
    <n v="-2"/>
    <n v="0.5"/>
    <s v="Left"/>
    <n v="2.5"/>
    <x v="1"/>
    <x v="0"/>
    <x v="10"/>
    <x v="1"/>
  </r>
  <r>
    <n v="91"/>
    <x v="2"/>
    <x v="2"/>
    <n v="12"/>
    <n v="-23"/>
    <n v="2"/>
    <s v="L"/>
    <x v="0"/>
    <m/>
    <x v="1"/>
    <x v="0"/>
    <x v="2"/>
    <n v="1"/>
    <m/>
    <x v="3"/>
    <n v="2"/>
    <n v="2.5"/>
    <s v="Right"/>
    <n v="2.5"/>
    <x v="1"/>
    <x v="1"/>
    <x v="10"/>
    <x v="1"/>
  </r>
  <r>
    <n v="92"/>
    <x v="3"/>
    <x v="3"/>
    <n v="10"/>
    <n v="-25"/>
    <n v="15"/>
    <s v="L"/>
    <x v="0"/>
    <m/>
    <x v="1"/>
    <x v="0"/>
    <x v="2"/>
    <n v="1"/>
    <m/>
    <x v="3"/>
    <n v="15"/>
    <n v="2.5"/>
    <s v="Right"/>
    <n v="2.5"/>
    <x v="1"/>
    <x v="1"/>
    <x v="10"/>
    <x v="1"/>
  </r>
  <r>
    <n v="93"/>
    <x v="1"/>
    <x v="1"/>
    <n v="10"/>
    <n v="-40"/>
    <n v="3"/>
    <s v="R"/>
    <x v="0"/>
    <m/>
    <x v="1"/>
    <x v="0"/>
    <x v="2"/>
    <n v="1"/>
    <m/>
    <x v="3"/>
    <n v="3"/>
    <n v="2.5"/>
    <s v="Right"/>
    <n v="2.5"/>
    <x v="1"/>
    <x v="2"/>
    <x v="10"/>
    <x v="1"/>
  </r>
  <r>
    <n v="94"/>
    <x v="2"/>
    <x v="2"/>
    <n v="7"/>
    <n v="-43"/>
    <n v="4"/>
    <s v="R"/>
    <x v="0"/>
    <m/>
    <x v="1"/>
    <x v="0"/>
    <x v="2"/>
    <n v="1"/>
    <m/>
    <x v="3"/>
    <n v="4"/>
    <n v="2.5"/>
    <s v="Right"/>
    <n v="2.5"/>
    <x v="1"/>
    <x v="2"/>
    <x v="10"/>
    <x v="1"/>
  </r>
  <r>
    <n v="95"/>
    <x v="3"/>
    <x v="3"/>
    <n v="3"/>
    <n v="-47"/>
    <n v="5"/>
    <s v="R"/>
    <x v="0"/>
    <m/>
    <x v="1"/>
    <x v="1"/>
    <x v="2"/>
    <n v="1"/>
    <m/>
    <x v="3"/>
    <n v="5"/>
    <n v="0.5"/>
    <s v="Left"/>
    <n v="2.5"/>
    <x v="1"/>
    <x v="1"/>
    <x v="10"/>
    <x v="1"/>
  </r>
  <r>
    <n v="97"/>
    <x v="1"/>
    <x v="1"/>
    <n v="12"/>
    <n v="50"/>
    <n v="3"/>
    <s v="L"/>
    <x v="0"/>
    <m/>
    <x v="1"/>
    <x v="0"/>
    <x v="2"/>
    <n v="1"/>
    <m/>
    <x v="3"/>
    <n v="3"/>
    <n v="2.5"/>
    <s v="Right"/>
    <n v="2.5"/>
    <x v="1"/>
    <x v="1"/>
    <x v="10"/>
    <x v="2"/>
  </r>
  <r>
    <n v="98"/>
    <x v="2"/>
    <x v="2"/>
    <n v="9"/>
    <n v="47"/>
    <n v="8"/>
    <s v="L"/>
    <x v="0"/>
    <m/>
    <x v="1"/>
    <x v="1"/>
    <x v="2"/>
    <n v="1"/>
    <m/>
    <x v="3"/>
    <n v="8"/>
    <n v="0.5"/>
    <s v="Left"/>
    <n v="2.5"/>
    <x v="1"/>
    <x v="2"/>
    <x v="10"/>
    <x v="2"/>
  </r>
  <r>
    <n v="99"/>
    <x v="3"/>
    <x v="3"/>
    <n v="1"/>
    <n v="39"/>
    <n v="-16"/>
    <s v="L"/>
    <x v="0"/>
    <m/>
    <x v="0"/>
    <x v="2"/>
    <x v="0"/>
    <n v="1"/>
    <n v="0"/>
    <x v="0"/>
    <n v="-16"/>
    <n v="1.5"/>
    <s v="Middle"/>
    <n v="0.5"/>
    <x v="1"/>
    <x v="0"/>
    <x v="10"/>
    <x v="2"/>
  </r>
  <r>
    <n v="111"/>
    <x v="1"/>
    <x v="1"/>
    <n v="10"/>
    <n v="-32"/>
    <n v="-4"/>
    <s v="R"/>
    <x v="0"/>
    <m/>
    <x v="1"/>
    <x v="1"/>
    <x v="2"/>
    <n v="1"/>
    <m/>
    <x v="3"/>
    <n v="-4"/>
    <n v="0.5"/>
    <s v="Left"/>
    <n v="2.5"/>
    <x v="1"/>
    <x v="1"/>
    <x v="10"/>
    <x v="1"/>
  </r>
  <r>
    <n v="112"/>
    <x v="2"/>
    <x v="2"/>
    <n v="14"/>
    <n v="-28"/>
    <n v="4"/>
    <s v="M"/>
    <x v="0"/>
    <m/>
    <x v="1"/>
    <x v="1"/>
    <x v="2"/>
    <n v="1"/>
    <m/>
    <x v="3"/>
    <n v="4"/>
    <n v="0.5"/>
    <s v="Left"/>
    <n v="2.5"/>
    <x v="1"/>
    <x v="0"/>
    <x v="10"/>
    <x v="1"/>
  </r>
  <r>
    <n v="113"/>
    <x v="3"/>
    <x v="3"/>
    <n v="10"/>
    <n v="-32"/>
    <n v="-6"/>
    <s v="L"/>
    <x v="0"/>
    <m/>
    <x v="1"/>
    <x v="0"/>
    <x v="2"/>
    <n v="1"/>
    <m/>
    <x v="3"/>
    <n v="-6"/>
    <n v="2.5"/>
    <s v="Right"/>
    <n v="2.5"/>
    <x v="1"/>
    <x v="1"/>
    <x v="10"/>
    <x v="1"/>
  </r>
  <r>
    <n v="123"/>
    <x v="1"/>
    <x v="1"/>
    <n v="10"/>
    <n v="-45"/>
    <n v="-1"/>
    <s v="M"/>
    <x v="0"/>
    <m/>
    <x v="1"/>
    <x v="1"/>
    <x v="2"/>
    <n v="1"/>
    <m/>
    <x v="3"/>
    <n v="-1"/>
    <n v="0.5"/>
    <s v="Left"/>
    <n v="2.5"/>
    <x v="1"/>
    <x v="0"/>
    <x v="10"/>
    <x v="1"/>
  </r>
  <r>
    <n v="124"/>
    <x v="2"/>
    <x v="2"/>
    <n v="11"/>
    <n v="-44"/>
    <n v="3"/>
    <s v="L"/>
    <x v="0"/>
    <m/>
    <x v="1"/>
    <x v="0"/>
    <x v="2"/>
    <n v="1"/>
    <m/>
    <x v="3"/>
    <n v="3"/>
    <n v="2.5"/>
    <s v="Right"/>
    <n v="2.5"/>
    <x v="1"/>
    <x v="1"/>
    <x v="10"/>
    <x v="1"/>
  </r>
  <r>
    <n v="125"/>
    <x v="3"/>
    <x v="3"/>
    <n v="8"/>
    <n v="-47"/>
    <n v="-6"/>
    <s v="L"/>
    <x v="0"/>
    <m/>
    <x v="1"/>
    <x v="1"/>
    <x v="2"/>
    <n v="1"/>
    <m/>
    <x v="3"/>
    <n v="-6"/>
    <n v="0.5"/>
    <s v="Left"/>
    <n v="2.5"/>
    <x v="1"/>
    <x v="2"/>
    <x v="10"/>
    <x v="1"/>
  </r>
  <r>
    <n v="22"/>
    <x v="1"/>
    <x v="1"/>
    <n v="10"/>
    <n v="-24"/>
    <n v="9"/>
    <s v="R"/>
    <x v="0"/>
    <m/>
    <x v="1"/>
    <x v="0"/>
    <x v="2"/>
    <n v="1"/>
    <m/>
    <x v="3"/>
    <n v="9"/>
    <n v="2.5"/>
    <s v="Right"/>
    <n v="2.5"/>
    <x v="1"/>
    <x v="2"/>
    <x v="10"/>
    <x v="1"/>
  </r>
  <r>
    <n v="23"/>
    <x v="2"/>
    <x v="2"/>
    <n v="1"/>
    <n v="-33"/>
    <n v="4"/>
    <s v="M"/>
    <x v="0"/>
    <m/>
    <x v="1"/>
    <x v="0"/>
    <x v="2"/>
    <n v="1"/>
    <m/>
    <x v="3"/>
    <n v="4"/>
    <n v="2.5"/>
    <s v="Right"/>
    <n v="2.5"/>
    <x v="1"/>
    <x v="0"/>
    <x v="10"/>
    <x v="1"/>
  </r>
  <r>
    <n v="24"/>
    <x v="1"/>
    <x v="1"/>
    <n v="10"/>
    <n v="-37"/>
    <n v="28"/>
    <s v="R"/>
    <x v="0"/>
    <m/>
    <x v="0"/>
    <x v="1"/>
    <x v="0"/>
    <n v="1"/>
    <n v="1"/>
    <x v="2"/>
    <n v="28"/>
    <n v="0.5"/>
    <s v="Left"/>
    <n v="2.5"/>
    <x v="1"/>
    <x v="1"/>
    <x v="10"/>
    <x v="1"/>
  </r>
  <r>
    <n v="25"/>
    <x v="1"/>
    <x v="1"/>
    <n v="10"/>
    <n v="35"/>
    <n v="0"/>
    <s v="L"/>
    <x v="0"/>
    <m/>
    <x v="1"/>
    <x v="0"/>
    <x v="2"/>
    <n v="1"/>
    <m/>
    <x v="3"/>
    <n v="0"/>
    <n v="2.5"/>
    <s v="Right"/>
    <n v="2.5"/>
    <x v="1"/>
    <x v="1"/>
    <x v="10"/>
    <x v="2"/>
  </r>
  <r>
    <n v="26"/>
    <x v="2"/>
    <x v="2"/>
    <n v="10"/>
    <n v="35"/>
    <n v="8"/>
    <s v="R"/>
    <x v="0"/>
    <m/>
    <x v="0"/>
    <x v="1"/>
    <x v="0"/>
    <n v="1"/>
    <n v="1"/>
    <x v="1"/>
    <n v="8"/>
    <n v="0.5"/>
    <s v="Left"/>
    <n v="1.5"/>
    <x v="1"/>
    <x v="1"/>
    <x v="10"/>
    <x v="2"/>
  </r>
  <r>
    <n v="27"/>
    <x v="3"/>
    <x v="3"/>
    <n v="2"/>
    <n v="27"/>
    <n v="7"/>
    <s v="L"/>
    <x v="0"/>
    <m/>
    <x v="0"/>
    <x v="0"/>
    <x v="0"/>
    <n v="1"/>
    <n v="1"/>
    <x v="0"/>
    <n v="7"/>
    <n v="2.5"/>
    <s v="Right"/>
    <n v="0.5"/>
    <x v="1"/>
    <x v="1"/>
    <x v="10"/>
    <x v="2"/>
  </r>
  <r>
    <n v="28"/>
    <x v="1"/>
    <x v="1"/>
    <n v="10"/>
    <n v="20"/>
    <n v="4"/>
    <s v="R"/>
    <x v="0"/>
    <m/>
    <x v="1"/>
    <x v="1"/>
    <x v="2"/>
    <n v="1"/>
    <m/>
    <x v="3"/>
    <n v="4"/>
    <n v="0.5"/>
    <s v="Left"/>
    <n v="2.5"/>
    <x v="1"/>
    <x v="1"/>
    <x v="10"/>
    <x v="4"/>
  </r>
  <r>
    <n v="29"/>
    <x v="2"/>
    <x v="2"/>
    <n v="6"/>
    <n v="16"/>
    <n v="9"/>
    <s v="R"/>
    <x v="0"/>
    <m/>
    <x v="1"/>
    <x v="0"/>
    <x v="2"/>
    <n v="1"/>
    <m/>
    <x v="3"/>
    <n v="9"/>
    <n v="2.5"/>
    <s v="Right"/>
    <n v="2.5"/>
    <x v="1"/>
    <x v="2"/>
    <x v="10"/>
    <x v="4"/>
  </r>
  <r>
    <n v="30"/>
    <x v="1"/>
    <x v="1"/>
    <n v="7"/>
    <n v="7"/>
    <n v="6"/>
    <s v="R"/>
    <x v="0"/>
    <m/>
    <x v="1"/>
    <x v="1"/>
    <x v="2"/>
    <n v="1"/>
    <m/>
    <x v="3"/>
    <n v="6"/>
    <n v="0.5"/>
    <s v="Left"/>
    <n v="2.5"/>
    <x v="1"/>
    <x v="1"/>
    <x v="10"/>
    <x v="4"/>
  </r>
  <r>
    <n v="31"/>
    <x v="2"/>
    <x v="2"/>
    <n v="1"/>
    <n v="1"/>
    <n v="1"/>
    <s v="L"/>
    <x v="0"/>
    <m/>
    <x v="1"/>
    <x v="1"/>
    <x v="2"/>
    <n v="1"/>
    <m/>
    <x v="3"/>
    <n v="1"/>
    <n v="0.5"/>
    <s v="Left"/>
    <n v="2.5"/>
    <x v="1"/>
    <x v="2"/>
    <x v="10"/>
    <x v="0"/>
  </r>
  <r>
    <n v="43"/>
    <x v="1"/>
    <x v="1"/>
    <n v="10"/>
    <n v="-26"/>
    <n v="3"/>
    <s v="R"/>
    <x v="0"/>
    <m/>
    <x v="1"/>
    <x v="1"/>
    <x v="2"/>
    <n v="1"/>
    <m/>
    <x v="3"/>
    <n v="3"/>
    <n v="0.5"/>
    <s v="Left"/>
    <n v="2.5"/>
    <x v="1"/>
    <x v="1"/>
    <x v="10"/>
    <x v="1"/>
  </r>
  <r>
    <n v="44"/>
    <x v="2"/>
    <x v="2"/>
    <n v="7"/>
    <n v="-29"/>
    <n v="11"/>
    <s v="L"/>
    <x v="0"/>
    <m/>
    <x v="1"/>
    <x v="0"/>
    <x v="2"/>
    <n v="1"/>
    <m/>
    <x v="3"/>
    <n v="11"/>
    <n v="2.5"/>
    <s v="Right"/>
    <n v="2.5"/>
    <x v="1"/>
    <x v="1"/>
    <x v="10"/>
    <x v="1"/>
  </r>
  <r>
    <n v="45"/>
    <x v="1"/>
    <x v="1"/>
    <n v="10"/>
    <n v="-40"/>
    <n v="26"/>
    <s v="L"/>
    <x v="0"/>
    <m/>
    <x v="1"/>
    <x v="0"/>
    <x v="2"/>
    <n v="1"/>
    <m/>
    <x v="3"/>
    <n v="26"/>
    <n v="2.5"/>
    <s v="Right"/>
    <n v="2.5"/>
    <x v="1"/>
    <x v="1"/>
    <x v="10"/>
    <x v="1"/>
  </r>
  <r>
    <n v="47"/>
    <x v="1"/>
    <x v="1"/>
    <n v="10"/>
    <n v="34"/>
    <n v="-6"/>
    <s v="L"/>
    <x v="0"/>
    <m/>
    <x v="1"/>
    <x v="0"/>
    <x v="2"/>
    <n v="1"/>
    <m/>
    <x v="3"/>
    <n v="-6"/>
    <n v="2.5"/>
    <s v="Right"/>
    <n v="2.5"/>
    <x v="1"/>
    <x v="1"/>
    <x v="10"/>
    <x v="2"/>
  </r>
  <r>
    <n v="49"/>
    <x v="2"/>
    <x v="2"/>
    <n v="16"/>
    <n v="40"/>
    <n v="-3"/>
    <s v="M"/>
    <x v="0"/>
    <m/>
    <x v="1"/>
    <x v="0"/>
    <x v="2"/>
    <n v="1"/>
    <m/>
    <x v="3"/>
    <n v="-3"/>
    <n v="2.5"/>
    <s v="Right"/>
    <n v="2.5"/>
    <x v="1"/>
    <x v="0"/>
    <x v="10"/>
    <x v="2"/>
  </r>
  <r>
    <n v="50"/>
    <x v="3"/>
    <x v="3"/>
    <n v="19"/>
    <n v="43"/>
    <n v="12"/>
    <s v="M"/>
    <x v="0"/>
    <m/>
    <x v="0"/>
    <x v="0"/>
    <x v="0"/>
    <n v="1"/>
    <n v="1"/>
    <x v="1"/>
    <n v="12"/>
    <n v="2.5"/>
    <s v="Right"/>
    <n v="1.5"/>
    <x v="1"/>
    <x v="0"/>
    <x v="10"/>
    <x v="2"/>
  </r>
  <r>
    <n v="61"/>
    <x v="1"/>
    <x v="1"/>
    <n v="10"/>
    <n v="-47"/>
    <n v="4"/>
    <s v="M"/>
    <x v="0"/>
    <m/>
    <x v="0"/>
    <x v="0"/>
    <x v="0"/>
    <n v="1"/>
    <n v="1"/>
    <x v="0"/>
    <n v="4"/>
    <n v="2.5"/>
    <s v="Right"/>
    <n v="0.5"/>
    <x v="1"/>
    <x v="0"/>
    <x v="10"/>
    <x v="1"/>
  </r>
  <r>
    <n v="62"/>
    <x v="2"/>
    <x v="2"/>
    <n v="6"/>
    <n v="49"/>
    <n v="4"/>
    <s v="R"/>
    <x v="0"/>
    <m/>
    <x v="1"/>
    <x v="0"/>
    <x v="2"/>
    <n v="1"/>
    <m/>
    <x v="3"/>
    <n v="4"/>
    <n v="2.5"/>
    <s v="Right"/>
    <n v="2.5"/>
    <x v="1"/>
    <x v="2"/>
    <x v="10"/>
    <x v="2"/>
  </r>
  <r>
    <n v="63"/>
    <x v="3"/>
    <x v="3"/>
    <n v="2"/>
    <n v="45"/>
    <n v="2"/>
    <s v="R"/>
    <x v="0"/>
    <m/>
    <x v="1"/>
    <x v="0"/>
    <x v="2"/>
    <n v="1"/>
    <m/>
    <x v="3"/>
    <n v="2"/>
    <n v="2.5"/>
    <s v="Right"/>
    <n v="2.5"/>
    <x v="1"/>
    <x v="2"/>
    <x v="10"/>
    <x v="2"/>
  </r>
  <r>
    <n v="64"/>
    <x v="1"/>
    <x v="1"/>
    <n v="10"/>
    <n v="43"/>
    <n v="9"/>
    <s v="R"/>
    <x v="0"/>
    <m/>
    <x v="1"/>
    <x v="1"/>
    <x v="2"/>
    <n v="1"/>
    <m/>
    <x v="3"/>
    <n v="9"/>
    <n v="0.5"/>
    <s v="Left"/>
    <n v="2.5"/>
    <x v="1"/>
    <x v="1"/>
    <x v="10"/>
    <x v="2"/>
  </r>
  <r>
    <n v="65"/>
    <x v="2"/>
    <x v="2"/>
    <n v="1"/>
    <n v="34"/>
    <n v="29"/>
    <s v="L"/>
    <x v="0"/>
    <m/>
    <x v="1"/>
    <x v="0"/>
    <x v="2"/>
    <n v="1"/>
    <m/>
    <x v="3"/>
    <n v="29"/>
    <n v="2.5"/>
    <s v="Right"/>
    <n v="2.5"/>
    <x v="1"/>
    <x v="1"/>
    <x v="10"/>
    <x v="2"/>
  </r>
  <r>
    <n v="66"/>
    <x v="1"/>
    <x v="1"/>
    <n v="5"/>
    <n v="5"/>
    <n v="5"/>
    <s v="R"/>
    <x v="0"/>
    <m/>
    <x v="1"/>
    <x v="0"/>
    <x v="2"/>
    <n v="1"/>
    <m/>
    <x v="3"/>
    <n v="5"/>
    <n v="2.5"/>
    <s v="Right"/>
    <n v="2.5"/>
    <x v="1"/>
    <x v="2"/>
    <x v="10"/>
    <x v="4"/>
  </r>
  <r>
    <n v="100"/>
    <x v="1"/>
    <x v="1"/>
    <n v="10"/>
    <n v="-27"/>
    <n v="23"/>
    <s v="L"/>
    <x v="0"/>
    <m/>
    <x v="0"/>
    <x v="0"/>
    <x v="0"/>
    <n v="1"/>
    <n v="1"/>
    <x v="2"/>
    <n v="23"/>
    <n v="2.5"/>
    <s v="Right"/>
    <n v="2.5"/>
    <x v="1"/>
    <x v="1"/>
    <x v="10"/>
    <x v="1"/>
  </r>
  <r>
    <n v="101"/>
    <x v="1"/>
    <x v="1"/>
    <n v="10"/>
    <n v="50"/>
    <n v="48"/>
    <s v="R"/>
    <x v="0"/>
    <m/>
    <x v="1"/>
    <x v="1"/>
    <x v="2"/>
    <n v="1"/>
    <m/>
    <x v="3"/>
    <n v="48"/>
    <n v="0.5"/>
    <s v="Left"/>
    <n v="2.5"/>
    <x v="1"/>
    <x v="1"/>
    <x v="10"/>
    <x v="2"/>
  </r>
  <r>
    <n v="102"/>
    <x v="1"/>
    <x v="1"/>
    <n v="2"/>
    <n v="2"/>
    <n v="0"/>
    <s v="R"/>
    <x v="0"/>
    <m/>
    <x v="1"/>
    <x v="0"/>
    <x v="2"/>
    <n v="1"/>
    <m/>
    <x v="3"/>
    <n v="0"/>
    <n v="2.5"/>
    <s v="Right"/>
    <n v="2.5"/>
    <x v="1"/>
    <x v="2"/>
    <x v="10"/>
    <x v="0"/>
  </r>
  <r>
    <n v="104"/>
    <x v="2"/>
    <x v="2"/>
    <n v="2"/>
    <n v="2"/>
    <n v="-3"/>
    <s v="R"/>
    <x v="0"/>
    <m/>
    <x v="1"/>
    <x v="1"/>
    <x v="2"/>
    <n v="1"/>
    <m/>
    <x v="3"/>
    <n v="-3"/>
    <n v="0.5"/>
    <s v="Left"/>
    <n v="2.5"/>
    <x v="1"/>
    <x v="1"/>
    <x v="10"/>
    <x v="0"/>
  </r>
  <r>
    <n v="108"/>
    <x v="3"/>
    <x v="3"/>
    <n v="15"/>
    <n v="15"/>
    <n v="0"/>
    <s v="L"/>
    <x v="0"/>
    <m/>
    <x v="0"/>
    <x v="0"/>
    <x v="0"/>
    <n v="1"/>
    <n v="0"/>
    <x v="3"/>
    <n v="0"/>
    <n v="2.5"/>
    <s v="Right"/>
    <n v="2.5"/>
    <x v="1"/>
    <x v="1"/>
    <x v="10"/>
    <x v="4"/>
  </r>
  <r>
    <n v="117"/>
    <x v="1"/>
    <x v="1"/>
    <n v="10"/>
    <n v="33"/>
    <n v="-1"/>
    <s v="L"/>
    <x v="0"/>
    <m/>
    <x v="1"/>
    <x v="1"/>
    <x v="2"/>
    <n v="1"/>
    <m/>
    <x v="3"/>
    <n v="-1"/>
    <n v="0.5"/>
    <s v="Left"/>
    <n v="2.5"/>
    <x v="1"/>
    <x v="2"/>
    <x v="10"/>
    <x v="2"/>
  </r>
  <r>
    <n v="118"/>
    <x v="2"/>
    <x v="2"/>
    <n v="11"/>
    <n v="34"/>
    <n v="2"/>
    <s v="L"/>
    <x v="0"/>
    <m/>
    <x v="1"/>
    <x v="0"/>
    <x v="2"/>
    <n v="1"/>
    <m/>
    <x v="3"/>
    <n v="2"/>
    <n v="2.5"/>
    <s v="Right"/>
    <n v="2.5"/>
    <x v="1"/>
    <x v="1"/>
    <x v="10"/>
    <x v="2"/>
  </r>
  <r>
    <n v="119"/>
    <x v="3"/>
    <x v="3"/>
    <n v="9"/>
    <n v="32"/>
    <n v="0"/>
    <s v="R"/>
    <x v="0"/>
    <m/>
    <x v="0"/>
    <x v="1"/>
    <x v="0"/>
    <n v="1"/>
    <n v="0"/>
    <x v="3"/>
    <n v="0"/>
    <n v="0.5"/>
    <s v="Left"/>
    <n v="2.5"/>
    <x v="1"/>
    <x v="1"/>
    <x v="10"/>
    <x v="2"/>
  </r>
  <r>
    <n v="134"/>
    <x v="1"/>
    <x v="1"/>
    <n v="10"/>
    <n v="-34"/>
    <n v="0"/>
    <s v="R"/>
    <x v="0"/>
    <m/>
    <x v="1"/>
    <x v="1"/>
    <x v="2"/>
    <n v="1"/>
    <m/>
    <x v="3"/>
    <n v="0"/>
    <n v="0.5"/>
    <s v="Left"/>
    <n v="2.5"/>
    <x v="1"/>
    <x v="1"/>
    <x v="10"/>
    <x v="1"/>
  </r>
  <r>
    <n v="135"/>
    <x v="2"/>
    <x v="2"/>
    <n v="10"/>
    <n v="-34"/>
    <n v="2"/>
    <s v="M"/>
    <x v="0"/>
    <m/>
    <x v="1"/>
    <x v="1"/>
    <x v="2"/>
    <n v="1"/>
    <m/>
    <x v="3"/>
    <n v="2"/>
    <n v="0.5"/>
    <s v="Left"/>
    <n v="2.5"/>
    <x v="1"/>
    <x v="0"/>
    <x v="10"/>
    <x v="1"/>
  </r>
  <r>
    <n v="136"/>
    <x v="3"/>
    <x v="3"/>
    <n v="8"/>
    <n v="-36"/>
    <n v="-9"/>
    <s v="R"/>
    <x v="0"/>
    <m/>
    <x v="0"/>
    <x v="2"/>
    <x v="0"/>
    <n v="1"/>
    <n v="0"/>
    <x v="0"/>
    <n v="-9"/>
    <n v="1.5"/>
    <s v="Middle"/>
    <n v="0.5"/>
    <x v="1"/>
    <x v="0"/>
    <x v="10"/>
    <x v="1"/>
  </r>
  <r>
    <n v="143"/>
    <x v="1"/>
    <x v="1"/>
    <n v="10"/>
    <n v="42"/>
    <n v="0"/>
    <s v="R"/>
    <x v="0"/>
    <m/>
    <x v="1"/>
    <x v="0"/>
    <x v="2"/>
    <n v="1"/>
    <m/>
    <x v="3"/>
    <n v="0"/>
    <n v="2.5"/>
    <s v="Right"/>
    <n v="2.5"/>
    <x v="1"/>
    <x v="2"/>
    <x v="10"/>
    <x v="2"/>
  </r>
  <r>
    <n v="144"/>
    <x v="2"/>
    <x v="2"/>
    <n v="10"/>
    <n v="42"/>
    <n v="13"/>
    <s v="R"/>
    <x v="0"/>
    <m/>
    <x v="0"/>
    <x v="1"/>
    <x v="0"/>
    <n v="1"/>
    <n v="1"/>
    <x v="2"/>
    <n v="13"/>
    <n v="0.5"/>
    <s v="Left"/>
    <n v="2.5"/>
    <x v="1"/>
    <x v="1"/>
    <x v="10"/>
    <x v="2"/>
  </r>
  <r>
    <n v="145"/>
    <x v="1"/>
    <x v="1"/>
    <n v="10"/>
    <n v="29"/>
    <n v="0"/>
    <s v="L"/>
    <x v="0"/>
    <m/>
    <x v="0"/>
    <x v="0"/>
    <x v="0"/>
    <n v="1"/>
    <n v="0"/>
    <x v="3"/>
    <n v="0"/>
    <n v="2.5"/>
    <s v="Right"/>
    <n v="2.5"/>
    <x v="1"/>
    <x v="1"/>
    <x v="10"/>
    <x v="2"/>
  </r>
  <r>
    <n v="152"/>
    <x v="1"/>
    <x v="1"/>
    <n v="10"/>
    <n v="-30"/>
    <n v="16"/>
    <s v="R"/>
    <x v="0"/>
    <m/>
    <x v="1"/>
    <x v="0"/>
    <x v="2"/>
    <n v="1"/>
    <m/>
    <x v="3"/>
    <n v="16"/>
    <n v="2.5"/>
    <s v="Right"/>
    <n v="2.5"/>
    <x v="1"/>
    <x v="2"/>
    <x v="10"/>
    <x v="1"/>
  </r>
  <r>
    <n v="153"/>
    <x v="1"/>
    <x v="1"/>
    <n v="10"/>
    <n v="-46"/>
    <n v="-4"/>
    <s v="R"/>
    <x v="0"/>
    <m/>
    <x v="1"/>
    <x v="1"/>
    <x v="2"/>
    <n v="1"/>
    <m/>
    <x v="3"/>
    <n v="-4"/>
    <n v="0.5"/>
    <s v="Left"/>
    <n v="2.5"/>
    <x v="1"/>
    <x v="1"/>
    <x v="10"/>
    <x v="1"/>
  </r>
  <r>
    <n v="154"/>
    <x v="2"/>
    <x v="2"/>
    <n v="14"/>
    <n v="-42"/>
    <n v="0"/>
    <s v="R"/>
    <x v="0"/>
    <m/>
    <x v="1"/>
    <x v="0"/>
    <x v="2"/>
    <n v="1"/>
    <m/>
    <x v="3"/>
    <n v="0"/>
    <n v="2.5"/>
    <s v="Right"/>
    <n v="2.5"/>
    <x v="1"/>
    <x v="2"/>
    <x v="10"/>
    <x v="1"/>
  </r>
  <r>
    <n v="155"/>
    <x v="3"/>
    <x v="3"/>
    <n v="14"/>
    <n v="-42"/>
    <n v="5"/>
    <s v="R"/>
    <x v="0"/>
    <m/>
    <x v="0"/>
    <x v="1"/>
    <x v="0"/>
    <n v="1"/>
    <n v="1"/>
    <x v="0"/>
    <n v="5"/>
    <n v="0.5"/>
    <s v="Left"/>
    <n v="0.5"/>
    <x v="1"/>
    <x v="1"/>
    <x v="10"/>
    <x v="1"/>
  </r>
  <r>
    <n v="175"/>
    <x v="1"/>
    <x v="1"/>
    <n v="20"/>
    <n v="-2"/>
    <n v="12"/>
    <s v="L"/>
    <x v="0"/>
    <m/>
    <x v="1"/>
    <x v="0"/>
    <x v="2"/>
    <n v="1"/>
    <m/>
    <x v="3"/>
    <n v="12"/>
    <n v="2.5"/>
    <s v="Right"/>
    <n v="2.5"/>
    <x v="1"/>
    <x v="1"/>
    <x v="10"/>
    <x v="3"/>
  </r>
  <r>
    <n v="176"/>
    <x v="2"/>
    <x v="2"/>
    <n v="8"/>
    <n v="-14"/>
    <n v="11"/>
    <s v="M"/>
    <x v="0"/>
    <m/>
    <x v="1"/>
    <x v="0"/>
    <x v="2"/>
    <n v="1"/>
    <m/>
    <x v="3"/>
    <n v="11"/>
    <n v="2.5"/>
    <s v="Right"/>
    <n v="2.5"/>
    <x v="1"/>
    <x v="0"/>
    <x v="10"/>
    <x v="3"/>
  </r>
  <r>
    <n v="183"/>
    <x v="1"/>
    <x v="1"/>
    <n v="31"/>
    <n v="-4"/>
    <n v="4"/>
    <s v="L"/>
    <x v="0"/>
    <m/>
    <x v="1"/>
    <x v="1"/>
    <x v="2"/>
    <n v="1"/>
    <m/>
    <x v="3"/>
    <n v="4"/>
    <n v="0.5"/>
    <s v="Left"/>
    <n v="2.5"/>
    <x v="1"/>
    <x v="2"/>
    <x v="10"/>
    <x v="3"/>
  </r>
  <r>
    <n v="184"/>
    <x v="2"/>
    <x v="2"/>
    <n v="27"/>
    <n v="-8"/>
    <n v="22"/>
    <s v="L"/>
    <x v="0"/>
    <m/>
    <x v="0"/>
    <x v="0"/>
    <x v="0"/>
    <n v="1"/>
    <n v="1"/>
    <x v="2"/>
    <n v="22"/>
    <n v="2.5"/>
    <s v="Right"/>
    <n v="2.5"/>
    <x v="1"/>
    <x v="1"/>
    <x v="10"/>
    <x v="3"/>
  </r>
  <r>
    <n v="185"/>
    <x v="3"/>
    <x v="3"/>
    <n v="10"/>
    <n v="-30"/>
    <n v="-11"/>
    <s v="R"/>
    <x v="0"/>
    <m/>
    <x v="0"/>
    <x v="2"/>
    <x v="0"/>
    <n v="1"/>
    <n v="0"/>
    <x v="0"/>
    <n v="-11"/>
    <n v="1.5"/>
    <s v="Middle"/>
    <n v="0.5"/>
    <x v="1"/>
    <x v="0"/>
    <x v="10"/>
    <x v="1"/>
  </r>
  <r>
    <n v="199"/>
    <x v="1"/>
    <x v="1"/>
    <n v="10"/>
    <n v="21"/>
    <n v="0"/>
    <s v="R"/>
    <x v="0"/>
    <m/>
    <x v="0"/>
    <x v="1"/>
    <x v="0"/>
    <n v="1"/>
    <n v="0"/>
    <x v="3"/>
    <n v="0"/>
    <n v="0.5"/>
    <s v="Left"/>
    <n v="2.5"/>
    <x v="1"/>
    <x v="1"/>
    <x v="10"/>
    <x v="2"/>
  </r>
  <r>
    <n v="204"/>
    <x v="2"/>
    <x v="2"/>
    <n v="6"/>
    <n v="17"/>
    <n v="13"/>
    <s v="R"/>
    <x v="0"/>
    <m/>
    <x v="1"/>
    <x v="1"/>
    <x v="2"/>
    <n v="1"/>
    <m/>
    <x v="3"/>
    <n v="13"/>
    <n v="0.5"/>
    <s v="Left"/>
    <n v="2.5"/>
    <x v="1"/>
    <x v="1"/>
    <x v="10"/>
    <x v="4"/>
  </r>
  <r>
    <n v="205"/>
    <x v="1"/>
    <x v="1"/>
    <n v="4"/>
    <n v="4"/>
    <n v="0"/>
    <s v="L"/>
    <x v="0"/>
    <m/>
    <x v="1"/>
    <x v="0"/>
    <x v="2"/>
    <n v="1"/>
    <m/>
    <x v="3"/>
    <n v="0"/>
    <n v="2.5"/>
    <s v="Right"/>
    <n v="2.5"/>
    <x v="1"/>
    <x v="1"/>
    <x v="10"/>
    <x v="4"/>
  </r>
  <r>
    <n v="206"/>
    <x v="2"/>
    <x v="2"/>
    <n v="4"/>
    <n v="4"/>
    <n v="2"/>
    <s v="L"/>
    <x v="0"/>
    <m/>
    <x v="1"/>
    <x v="0"/>
    <x v="3"/>
    <n v="1"/>
    <m/>
    <x v="3"/>
    <n v="2"/>
    <n v="2.5"/>
    <s v="Right"/>
    <n v="2.5"/>
    <x v="1"/>
    <x v="1"/>
    <x v="10"/>
    <x v="4"/>
  </r>
  <r>
    <n v="207"/>
    <x v="3"/>
    <x v="3"/>
    <n v="2"/>
    <n v="2"/>
    <n v="-4"/>
    <s v="R"/>
    <x v="0"/>
    <m/>
    <x v="1"/>
    <x v="1"/>
    <x v="2"/>
    <n v="1"/>
    <m/>
    <x v="3"/>
    <n v="-4"/>
    <n v="0.5"/>
    <s v="Left"/>
    <n v="2.5"/>
    <x v="1"/>
    <x v="1"/>
    <x v="10"/>
    <x v="0"/>
  </r>
  <r>
    <n v="221"/>
    <x v="1"/>
    <x v="1"/>
    <n v="10"/>
    <n v="-31"/>
    <n v="15"/>
    <s v="L"/>
    <x v="0"/>
    <m/>
    <x v="1"/>
    <x v="0"/>
    <x v="2"/>
    <n v="1"/>
    <m/>
    <x v="3"/>
    <n v="15"/>
    <n v="2.5"/>
    <s v="Right"/>
    <n v="2.5"/>
    <x v="1"/>
    <x v="1"/>
    <x v="10"/>
    <x v="1"/>
  </r>
  <r>
    <n v="224"/>
    <x v="1"/>
    <x v="1"/>
    <n v="10"/>
    <n v="-46"/>
    <n v="-1"/>
    <s v="L"/>
    <x v="0"/>
    <m/>
    <x v="1"/>
    <x v="0"/>
    <x v="2"/>
    <n v="1"/>
    <m/>
    <x v="3"/>
    <n v="-1"/>
    <n v="2.5"/>
    <s v="Right"/>
    <n v="2.5"/>
    <x v="1"/>
    <x v="1"/>
    <x v="10"/>
    <x v="1"/>
  </r>
  <r>
    <n v="226"/>
    <x v="2"/>
    <x v="2"/>
    <n v="11"/>
    <n v="-45"/>
    <n v="55"/>
    <s v="R"/>
    <x v="0"/>
    <m/>
    <x v="1"/>
    <x v="1"/>
    <x v="2"/>
    <n v="1"/>
    <m/>
    <x v="3"/>
    <n v="55"/>
    <n v="0.5"/>
    <s v="Left"/>
    <n v="2.5"/>
    <x v="1"/>
    <x v="1"/>
    <x v="10"/>
    <x v="1"/>
  </r>
  <r>
    <n v="19"/>
    <x v="1"/>
    <x v="1"/>
    <n v="10"/>
    <n v="-27"/>
    <n v="16"/>
    <s v="L"/>
    <x v="0"/>
    <m/>
    <x v="1"/>
    <x v="0"/>
    <x v="2"/>
    <n v="1"/>
    <m/>
    <x v="3"/>
    <n v="16"/>
    <n v="2.5"/>
    <s v="Right"/>
    <n v="2.5"/>
    <x v="1"/>
    <x v="1"/>
    <x v="10"/>
    <x v="1"/>
  </r>
  <r>
    <n v="22"/>
    <x v="1"/>
    <x v="1"/>
    <n v="5"/>
    <n v="-48"/>
    <n v="1"/>
    <s v="L"/>
    <x v="0"/>
    <m/>
    <x v="1"/>
    <x v="0"/>
    <x v="2"/>
    <n v="1"/>
    <m/>
    <x v="3"/>
    <n v="1"/>
    <n v="2.5"/>
    <s v="Right"/>
    <n v="2.5"/>
    <x v="1"/>
    <x v="1"/>
    <x v="10"/>
    <x v="1"/>
  </r>
  <r>
    <n v="23"/>
    <x v="2"/>
    <x v="2"/>
    <n v="4"/>
    <n v="-49"/>
    <n v="5"/>
    <s v="M"/>
    <x v="0"/>
    <m/>
    <x v="1"/>
    <x v="0"/>
    <x v="2"/>
    <n v="1"/>
    <m/>
    <x v="3"/>
    <n v="5"/>
    <n v="2.5"/>
    <s v="Right"/>
    <n v="2.5"/>
    <x v="1"/>
    <x v="0"/>
    <x v="10"/>
    <x v="1"/>
  </r>
  <r>
    <n v="24"/>
    <x v="1"/>
    <x v="1"/>
    <n v="10"/>
    <n v="46"/>
    <n v="3"/>
    <s v="R"/>
    <x v="0"/>
    <m/>
    <x v="1"/>
    <x v="0"/>
    <x v="2"/>
    <n v="1"/>
    <m/>
    <x v="3"/>
    <n v="3"/>
    <n v="2.5"/>
    <s v="Right"/>
    <n v="2.5"/>
    <x v="1"/>
    <x v="2"/>
    <x v="10"/>
    <x v="2"/>
  </r>
  <r>
    <n v="28"/>
    <x v="2"/>
    <x v="2"/>
    <n v="15"/>
    <n v="-49"/>
    <n v="3"/>
    <s v="L"/>
    <x v="0"/>
    <m/>
    <x v="1"/>
    <x v="1"/>
    <x v="3"/>
    <n v="1"/>
    <m/>
    <x v="3"/>
    <n v="3"/>
    <n v="0.5"/>
    <s v="Left"/>
    <n v="2.5"/>
    <x v="1"/>
    <x v="2"/>
    <x v="10"/>
    <x v="1"/>
  </r>
  <r>
    <n v="30"/>
    <x v="3"/>
    <x v="3"/>
    <n v="12"/>
    <n v="48"/>
    <n v="0"/>
    <s v="L"/>
    <x v="0"/>
    <m/>
    <x v="0"/>
    <x v="0"/>
    <x v="0"/>
    <n v="1"/>
    <n v="0"/>
    <x v="3"/>
    <n v="0"/>
    <n v="2.5"/>
    <s v="Right"/>
    <n v="2.5"/>
    <x v="1"/>
    <x v="1"/>
    <x v="10"/>
    <x v="2"/>
  </r>
  <r>
    <n v="43"/>
    <x v="1"/>
    <x v="1"/>
    <n v="10"/>
    <n v="-40"/>
    <n v="-1"/>
    <s v="M"/>
    <x v="0"/>
    <m/>
    <x v="1"/>
    <x v="0"/>
    <x v="2"/>
    <n v="1"/>
    <m/>
    <x v="3"/>
    <n v="-1"/>
    <n v="2.5"/>
    <s v="Right"/>
    <n v="2.5"/>
    <x v="1"/>
    <x v="0"/>
    <x v="10"/>
    <x v="1"/>
  </r>
  <r>
    <n v="44"/>
    <x v="2"/>
    <x v="2"/>
    <n v="11"/>
    <n v="-39"/>
    <n v="0"/>
    <s v="R"/>
    <x v="0"/>
    <m/>
    <x v="0"/>
    <x v="2"/>
    <x v="0"/>
    <n v="1"/>
    <n v="0"/>
    <x v="0"/>
    <n v="0"/>
    <n v="1.5"/>
    <s v="Middle"/>
    <n v="0.5"/>
    <x v="1"/>
    <x v="0"/>
    <x v="10"/>
    <x v="1"/>
  </r>
  <r>
    <n v="46"/>
    <x v="3"/>
    <x v="3"/>
    <n v="20"/>
    <n v="-30"/>
    <n v="0"/>
    <s v="R"/>
    <x v="0"/>
    <m/>
    <x v="0"/>
    <x v="0"/>
    <x v="0"/>
    <n v="1"/>
    <n v="0"/>
    <x v="3"/>
    <n v="0"/>
    <n v="2.5"/>
    <s v="Right"/>
    <n v="2.5"/>
    <x v="1"/>
    <x v="2"/>
    <x v="10"/>
    <x v="1"/>
  </r>
  <r>
    <n v="58"/>
    <x v="1"/>
    <x v="1"/>
    <n v="10"/>
    <n v="-32"/>
    <n v="2"/>
    <s v="M"/>
    <x v="0"/>
    <m/>
    <x v="1"/>
    <x v="0"/>
    <x v="2"/>
    <n v="1"/>
    <m/>
    <x v="3"/>
    <n v="2"/>
    <n v="2.5"/>
    <s v="Right"/>
    <n v="2.5"/>
    <x v="1"/>
    <x v="0"/>
    <x v="10"/>
    <x v="1"/>
  </r>
  <r>
    <n v="59"/>
    <x v="2"/>
    <x v="2"/>
    <n v="8"/>
    <n v="-34"/>
    <n v="6"/>
    <s v="R"/>
    <x v="0"/>
    <m/>
    <x v="1"/>
    <x v="1"/>
    <x v="2"/>
    <n v="1"/>
    <m/>
    <x v="3"/>
    <n v="6"/>
    <n v="0.5"/>
    <s v="Left"/>
    <n v="2.5"/>
    <x v="1"/>
    <x v="1"/>
    <x v="10"/>
    <x v="1"/>
  </r>
  <r>
    <n v="60"/>
    <x v="3"/>
    <x v="3"/>
    <n v="2"/>
    <n v="-40"/>
    <n v="5"/>
    <s v="M"/>
    <x v="0"/>
    <m/>
    <x v="1"/>
    <x v="0"/>
    <x v="2"/>
    <n v="1"/>
    <m/>
    <x v="3"/>
    <n v="5"/>
    <n v="2.5"/>
    <s v="Right"/>
    <n v="2.5"/>
    <x v="1"/>
    <x v="0"/>
    <x v="10"/>
    <x v="1"/>
  </r>
  <r>
    <n v="61"/>
    <x v="1"/>
    <x v="1"/>
    <n v="10"/>
    <n v="-45"/>
    <n v="0"/>
    <s v="R"/>
    <x v="0"/>
    <m/>
    <x v="1"/>
    <x v="0"/>
    <x v="2"/>
    <n v="1"/>
    <m/>
    <x v="3"/>
    <n v="0"/>
    <n v="2.5"/>
    <s v="Right"/>
    <n v="2.5"/>
    <x v="1"/>
    <x v="2"/>
    <x v="10"/>
    <x v="1"/>
  </r>
  <r>
    <n v="62"/>
    <x v="2"/>
    <x v="2"/>
    <n v="10"/>
    <n v="-45"/>
    <n v="-4"/>
    <s v="R"/>
    <x v="0"/>
    <m/>
    <x v="1"/>
    <x v="1"/>
    <x v="2"/>
    <n v="1"/>
    <m/>
    <x v="3"/>
    <n v="-4"/>
    <n v="0.5"/>
    <s v="Left"/>
    <n v="2.5"/>
    <x v="1"/>
    <x v="1"/>
    <x v="10"/>
    <x v="1"/>
  </r>
  <r>
    <n v="63"/>
    <x v="3"/>
    <x v="3"/>
    <n v="14"/>
    <n v="-41"/>
    <n v="0"/>
    <s v="L"/>
    <x v="0"/>
    <m/>
    <x v="0"/>
    <x v="0"/>
    <x v="0"/>
    <n v="1"/>
    <n v="0"/>
    <x v="3"/>
    <n v="0"/>
    <n v="2.5"/>
    <s v="Right"/>
    <n v="2.5"/>
    <x v="1"/>
    <x v="1"/>
    <x v="10"/>
    <x v="1"/>
  </r>
  <r>
    <n v="75"/>
    <x v="1"/>
    <x v="1"/>
    <n v="10"/>
    <n v="45"/>
    <n v="17"/>
    <s v="L"/>
    <x v="0"/>
    <m/>
    <x v="0"/>
    <x v="0"/>
    <x v="0"/>
    <n v="1"/>
    <n v="1"/>
    <x v="2"/>
    <n v="17"/>
    <n v="2.5"/>
    <s v="Right"/>
    <n v="2.5"/>
    <x v="1"/>
    <x v="1"/>
    <x v="10"/>
    <x v="2"/>
  </r>
  <r>
    <n v="76"/>
    <x v="1"/>
    <x v="1"/>
    <n v="10"/>
    <n v="28"/>
    <n v="8"/>
    <s v="L"/>
    <x v="0"/>
    <m/>
    <x v="1"/>
    <x v="1"/>
    <x v="2"/>
    <n v="1"/>
    <m/>
    <x v="3"/>
    <n v="8"/>
    <n v="0.5"/>
    <s v="Left"/>
    <n v="2.5"/>
    <x v="1"/>
    <x v="2"/>
    <x v="10"/>
    <x v="2"/>
  </r>
  <r>
    <n v="78"/>
    <x v="1"/>
    <x v="1"/>
    <n v="10"/>
    <n v="15"/>
    <n v="-2"/>
    <s v="L"/>
    <x v="0"/>
    <m/>
    <x v="1"/>
    <x v="0"/>
    <x v="2"/>
    <n v="1"/>
    <m/>
    <x v="3"/>
    <n v="-2"/>
    <n v="2.5"/>
    <s v="Right"/>
    <n v="2.5"/>
    <x v="1"/>
    <x v="1"/>
    <x v="10"/>
    <x v="4"/>
  </r>
  <r>
    <n v="79"/>
    <x v="2"/>
    <x v="2"/>
    <n v="12"/>
    <n v="17"/>
    <n v="1"/>
    <s v="R"/>
    <x v="0"/>
    <m/>
    <x v="1"/>
    <x v="0"/>
    <x v="2"/>
    <n v="1"/>
    <m/>
    <x v="3"/>
    <n v="1"/>
    <n v="2.5"/>
    <s v="Right"/>
    <n v="2.5"/>
    <x v="1"/>
    <x v="2"/>
    <x v="10"/>
    <x v="4"/>
  </r>
  <r>
    <n v="80"/>
    <x v="3"/>
    <x v="3"/>
    <n v="11"/>
    <n v="16"/>
    <n v="12"/>
    <s v="R"/>
    <x v="0"/>
    <m/>
    <x v="1"/>
    <x v="0"/>
    <x v="2"/>
    <n v="1"/>
    <m/>
    <x v="3"/>
    <n v="12"/>
    <n v="2.5"/>
    <s v="Right"/>
    <n v="2.5"/>
    <x v="1"/>
    <x v="2"/>
    <x v="10"/>
    <x v="4"/>
  </r>
  <r>
    <n v="82"/>
    <x v="1"/>
    <x v="1"/>
    <n v="10"/>
    <n v="4"/>
    <n v="-1"/>
    <s v="R"/>
    <x v="0"/>
    <m/>
    <x v="1"/>
    <x v="1"/>
    <x v="2"/>
    <n v="1"/>
    <m/>
    <x v="3"/>
    <n v="-1"/>
    <n v="0.5"/>
    <s v="Left"/>
    <n v="2.5"/>
    <x v="1"/>
    <x v="1"/>
    <x v="10"/>
    <x v="4"/>
  </r>
  <r>
    <n v="83"/>
    <x v="2"/>
    <x v="2"/>
    <n v="11"/>
    <n v="5"/>
    <n v="1"/>
    <s v="L"/>
    <x v="0"/>
    <m/>
    <x v="1"/>
    <x v="0"/>
    <x v="2"/>
    <n v="1"/>
    <m/>
    <x v="3"/>
    <n v="1"/>
    <n v="2.5"/>
    <s v="Right"/>
    <n v="2.5"/>
    <x v="1"/>
    <x v="1"/>
    <x v="10"/>
    <x v="4"/>
  </r>
  <r>
    <n v="85"/>
    <x v="3"/>
    <x v="3"/>
    <n v="4"/>
    <n v="4"/>
    <n v="4"/>
    <s v="L"/>
    <x v="0"/>
    <m/>
    <x v="1"/>
    <x v="0"/>
    <x v="2"/>
    <n v="1"/>
    <m/>
    <x v="3"/>
    <n v="4"/>
    <n v="2.5"/>
    <s v="Right"/>
    <n v="2.5"/>
    <x v="1"/>
    <x v="1"/>
    <x v="10"/>
    <x v="4"/>
  </r>
  <r>
    <n v="107"/>
    <x v="1"/>
    <x v="1"/>
    <n v="10"/>
    <n v="-24"/>
    <n v="13"/>
    <s v="L"/>
    <x v="0"/>
    <m/>
    <x v="0"/>
    <x v="0"/>
    <x v="0"/>
    <n v="1"/>
    <n v="1"/>
    <x v="2"/>
    <n v="13"/>
    <n v="2.5"/>
    <s v="Right"/>
    <n v="2.5"/>
    <x v="1"/>
    <x v="1"/>
    <x v="10"/>
    <x v="1"/>
  </r>
  <r>
    <n v="108"/>
    <x v="1"/>
    <x v="1"/>
    <n v="10"/>
    <n v="-37"/>
    <n v="8"/>
    <s v="L"/>
    <x v="0"/>
    <m/>
    <x v="1"/>
    <x v="0"/>
    <x v="2"/>
    <n v="1"/>
    <m/>
    <x v="3"/>
    <n v="8"/>
    <n v="2.5"/>
    <s v="Right"/>
    <n v="2.5"/>
    <x v="1"/>
    <x v="1"/>
    <x v="10"/>
    <x v="1"/>
  </r>
  <r>
    <n v="109"/>
    <x v="2"/>
    <x v="2"/>
    <n v="2"/>
    <n v="-45"/>
    <n v="0"/>
    <s v="R"/>
    <x v="0"/>
    <m/>
    <x v="1"/>
    <x v="0"/>
    <x v="2"/>
    <n v="1"/>
    <m/>
    <x v="3"/>
    <n v="0"/>
    <n v="2.5"/>
    <s v="Right"/>
    <n v="2.5"/>
    <x v="1"/>
    <x v="2"/>
    <x v="10"/>
    <x v="1"/>
  </r>
  <r>
    <n v="110"/>
    <x v="3"/>
    <x v="3"/>
    <n v="2"/>
    <n v="-45"/>
    <n v="10"/>
    <s v="R"/>
    <x v="0"/>
    <m/>
    <x v="1"/>
    <x v="0"/>
    <x v="2"/>
    <n v="1"/>
    <m/>
    <x v="3"/>
    <n v="10"/>
    <n v="2.5"/>
    <s v="Right"/>
    <n v="2.5"/>
    <x v="1"/>
    <x v="2"/>
    <x v="10"/>
    <x v="1"/>
  </r>
  <r>
    <n v="111"/>
    <x v="1"/>
    <x v="1"/>
    <n v="10"/>
    <n v="45"/>
    <n v="9"/>
    <s v="R"/>
    <x v="0"/>
    <m/>
    <x v="1"/>
    <x v="1"/>
    <x v="2"/>
    <n v="1"/>
    <m/>
    <x v="3"/>
    <n v="9"/>
    <n v="0.5"/>
    <s v="Left"/>
    <n v="2.5"/>
    <x v="1"/>
    <x v="1"/>
    <x v="10"/>
    <x v="2"/>
  </r>
  <r>
    <n v="112"/>
    <x v="2"/>
    <x v="2"/>
    <n v="1"/>
    <n v="36"/>
    <n v="0"/>
    <s v="R"/>
    <x v="0"/>
    <m/>
    <x v="1"/>
    <x v="0"/>
    <x v="2"/>
    <n v="1"/>
    <m/>
    <x v="3"/>
    <n v="0"/>
    <n v="2.5"/>
    <s v="Right"/>
    <n v="2.5"/>
    <x v="1"/>
    <x v="2"/>
    <x v="10"/>
    <x v="2"/>
  </r>
  <r>
    <n v="113"/>
    <x v="3"/>
    <x v="3"/>
    <n v="1"/>
    <n v="36"/>
    <n v="6"/>
    <s v="R"/>
    <x v="0"/>
    <m/>
    <x v="1"/>
    <x v="0"/>
    <x v="2"/>
    <n v="1"/>
    <m/>
    <x v="3"/>
    <n v="6"/>
    <n v="2.5"/>
    <s v="Right"/>
    <n v="2.5"/>
    <x v="1"/>
    <x v="2"/>
    <x v="10"/>
    <x v="2"/>
  </r>
  <r>
    <n v="115"/>
    <x v="1"/>
    <x v="1"/>
    <n v="10"/>
    <n v="30"/>
    <n v="5"/>
    <s v="R"/>
    <x v="0"/>
    <m/>
    <x v="1"/>
    <x v="1"/>
    <x v="2"/>
    <n v="1"/>
    <m/>
    <x v="3"/>
    <n v="5"/>
    <n v="0.5"/>
    <s v="Left"/>
    <n v="2.5"/>
    <x v="1"/>
    <x v="1"/>
    <x v="10"/>
    <x v="2"/>
  </r>
  <r>
    <n v="116"/>
    <x v="2"/>
    <x v="2"/>
    <n v="5"/>
    <n v="25"/>
    <n v="-2"/>
    <s v="R"/>
    <x v="0"/>
    <m/>
    <x v="1"/>
    <x v="0"/>
    <x v="2"/>
    <n v="1"/>
    <m/>
    <x v="3"/>
    <n v="-2"/>
    <n v="2.5"/>
    <s v="Right"/>
    <n v="2.5"/>
    <x v="1"/>
    <x v="2"/>
    <x v="10"/>
    <x v="2"/>
  </r>
  <r>
    <n v="118"/>
    <x v="3"/>
    <x v="3"/>
    <n v="12"/>
    <n v="32"/>
    <n v="4"/>
    <s v="R"/>
    <x v="0"/>
    <m/>
    <x v="1"/>
    <x v="0"/>
    <x v="2"/>
    <n v="1"/>
    <m/>
    <x v="3"/>
    <n v="4"/>
    <n v="2.5"/>
    <s v="Right"/>
    <n v="2.5"/>
    <x v="1"/>
    <x v="2"/>
    <x v="10"/>
    <x v="2"/>
  </r>
  <r>
    <n v="119"/>
    <x v="4"/>
    <x v="4"/>
    <n v="10"/>
    <n v="28"/>
    <n v="28"/>
    <s v="R"/>
    <x v="0"/>
    <m/>
    <x v="0"/>
    <x v="1"/>
    <x v="0"/>
    <n v="1"/>
    <n v="1"/>
    <x v="2"/>
    <n v="28"/>
    <n v="0.5"/>
    <s v="Left"/>
    <n v="2.5"/>
    <x v="1"/>
    <x v="1"/>
    <x v="10"/>
    <x v="2"/>
  </r>
  <r>
    <n v="138"/>
    <x v="1"/>
    <x v="1"/>
    <n v="10"/>
    <n v="-33"/>
    <n v="-12"/>
    <s v="L"/>
    <x v="0"/>
    <m/>
    <x v="0"/>
    <x v="2"/>
    <x v="0"/>
    <n v="1"/>
    <n v="0"/>
    <x v="0"/>
    <n v="-12"/>
    <n v="1.5"/>
    <s v="Middle"/>
    <n v="0.5"/>
    <x v="1"/>
    <x v="0"/>
    <x v="10"/>
    <x v="1"/>
  </r>
  <r>
    <n v="139"/>
    <x v="2"/>
    <x v="2"/>
    <n v="22"/>
    <n v="-21"/>
    <n v="0"/>
    <s v="M"/>
    <x v="0"/>
    <m/>
    <x v="0"/>
    <x v="0"/>
    <x v="0"/>
    <n v="1"/>
    <n v="0"/>
    <x v="3"/>
    <n v="0"/>
    <n v="2.5"/>
    <s v="Right"/>
    <n v="2.5"/>
    <x v="1"/>
    <x v="0"/>
    <x v="10"/>
    <x v="1"/>
  </r>
  <r>
    <n v="140"/>
    <x v="3"/>
    <x v="3"/>
    <n v="22"/>
    <n v="-21"/>
    <n v="6"/>
    <s v="M"/>
    <x v="0"/>
    <m/>
    <x v="1"/>
    <x v="0"/>
    <x v="2"/>
    <n v="1"/>
    <m/>
    <x v="3"/>
    <n v="6"/>
    <n v="2.5"/>
    <s v="Right"/>
    <n v="2.5"/>
    <x v="1"/>
    <x v="0"/>
    <x v="10"/>
    <x v="1"/>
  </r>
  <r>
    <n v="148"/>
    <x v="1"/>
    <x v="1"/>
    <n v="10"/>
    <n v="-24"/>
    <n v="0"/>
    <s v="L"/>
    <x v="0"/>
    <m/>
    <x v="0"/>
    <x v="0"/>
    <x v="0"/>
    <n v="1"/>
    <n v="0"/>
    <x v="3"/>
    <n v="0"/>
    <n v="2.5"/>
    <s v="Right"/>
    <n v="2.5"/>
    <x v="1"/>
    <x v="1"/>
    <x v="10"/>
    <x v="1"/>
  </r>
  <r>
    <n v="149"/>
    <x v="2"/>
    <x v="2"/>
    <n v="10"/>
    <n v="-24"/>
    <n v="3"/>
    <s v="L"/>
    <x v="0"/>
    <m/>
    <x v="1"/>
    <x v="0"/>
    <x v="3"/>
    <n v="1"/>
    <m/>
    <x v="3"/>
    <n v="3"/>
    <n v="2.5"/>
    <s v="Right"/>
    <n v="2.5"/>
    <x v="1"/>
    <x v="1"/>
    <x v="10"/>
    <x v="1"/>
  </r>
  <r>
    <n v="150"/>
    <x v="3"/>
    <x v="3"/>
    <n v="7"/>
    <n v="-27"/>
    <n v="0"/>
    <s v="M"/>
    <x v="0"/>
    <m/>
    <x v="0"/>
    <x v="0"/>
    <x v="0"/>
    <n v="1"/>
    <n v="0"/>
    <x v="3"/>
    <n v="0"/>
    <n v="2.5"/>
    <s v="Right"/>
    <n v="2.5"/>
    <x v="1"/>
    <x v="0"/>
    <x v="10"/>
    <x v="1"/>
  </r>
  <r>
    <n v="159"/>
    <x v="1"/>
    <x v="1"/>
    <n v="10"/>
    <n v="-23"/>
    <n v="12"/>
    <s v="L"/>
    <x v="0"/>
    <m/>
    <x v="1"/>
    <x v="1"/>
    <x v="2"/>
    <n v="1"/>
    <m/>
    <x v="3"/>
    <n v="12"/>
    <n v="0.5"/>
    <s v="Left"/>
    <n v="2.5"/>
    <x v="1"/>
    <x v="2"/>
    <x v="10"/>
    <x v="1"/>
  </r>
  <r>
    <n v="162"/>
    <x v="1"/>
    <x v="1"/>
    <n v="10"/>
    <n v="-45"/>
    <n v="-1"/>
    <s v="M"/>
    <x v="0"/>
    <m/>
    <x v="1"/>
    <x v="1"/>
    <x v="2"/>
    <n v="1"/>
    <m/>
    <x v="3"/>
    <n v="-1"/>
    <n v="0.5"/>
    <s v="Left"/>
    <n v="2.5"/>
    <x v="1"/>
    <x v="0"/>
    <x v="10"/>
    <x v="1"/>
  </r>
  <r>
    <n v="164"/>
    <x v="2"/>
    <x v="2"/>
    <n v="11"/>
    <n v="-44"/>
    <n v="31"/>
    <s v="M"/>
    <x v="0"/>
    <m/>
    <x v="1"/>
    <x v="0"/>
    <x v="2"/>
    <n v="1"/>
    <m/>
    <x v="3"/>
    <n v="31"/>
    <n v="2.5"/>
    <s v="Right"/>
    <n v="2.5"/>
    <x v="1"/>
    <x v="0"/>
    <x v="10"/>
    <x v="1"/>
  </r>
  <r>
    <n v="168"/>
    <x v="1"/>
    <x v="1"/>
    <n v="10"/>
    <n v="25"/>
    <n v="0"/>
    <s v="R"/>
    <x v="0"/>
    <m/>
    <x v="1"/>
    <x v="1"/>
    <x v="2"/>
    <n v="1"/>
    <m/>
    <x v="3"/>
    <n v="0"/>
    <n v="0.5"/>
    <s v="Left"/>
    <n v="2.5"/>
    <x v="1"/>
    <x v="1"/>
    <x v="10"/>
    <x v="2"/>
  </r>
  <r>
    <n v="182"/>
    <x v="1"/>
    <x v="1"/>
    <n v="10"/>
    <n v="-36"/>
    <n v="1"/>
    <s v="L"/>
    <x v="0"/>
    <m/>
    <x v="1"/>
    <x v="0"/>
    <x v="2"/>
    <n v="1"/>
    <m/>
    <x v="3"/>
    <n v="1"/>
    <n v="2.5"/>
    <s v="Right"/>
    <n v="2.5"/>
    <x v="1"/>
    <x v="1"/>
    <x v="10"/>
    <x v="1"/>
  </r>
  <r>
    <n v="183"/>
    <x v="2"/>
    <x v="2"/>
    <n v="9"/>
    <n v="-37"/>
    <n v="3"/>
    <s v="L"/>
    <x v="0"/>
    <m/>
    <x v="1"/>
    <x v="0"/>
    <x v="2"/>
    <n v="1"/>
    <m/>
    <x v="3"/>
    <n v="3"/>
    <n v="2.5"/>
    <s v="Right"/>
    <n v="2.5"/>
    <x v="1"/>
    <x v="1"/>
    <x v="10"/>
    <x v="1"/>
  </r>
  <r>
    <n v="184"/>
    <x v="3"/>
    <x v="3"/>
    <n v="6"/>
    <n v="-40"/>
    <n v="-2"/>
    <s v="R"/>
    <x v="0"/>
    <m/>
    <x v="1"/>
    <x v="1"/>
    <x v="2"/>
    <n v="1"/>
    <m/>
    <x v="3"/>
    <n v="-2"/>
    <n v="0.5"/>
    <s v="Left"/>
    <n v="2.5"/>
    <x v="1"/>
    <x v="1"/>
    <x v="10"/>
    <x v="1"/>
  </r>
  <r>
    <n v="193"/>
    <x v="1"/>
    <x v="1"/>
    <n v="10"/>
    <n v="-49"/>
    <n v="0"/>
    <s v="M"/>
    <x v="0"/>
    <m/>
    <x v="1"/>
    <x v="0"/>
    <x v="2"/>
    <n v="1"/>
    <m/>
    <x v="3"/>
    <n v="0"/>
    <n v="2.5"/>
    <s v="Right"/>
    <n v="2.5"/>
    <x v="1"/>
    <x v="0"/>
    <x v="10"/>
    <x v="1"/>
  </r>
  <r>
    <n v="18"/>
    <x v="1"/>
    <x v="1"/>
    <n v="10"/>
    <n v="46"/>
    <n v="-1"/>
    <s v="R"/>
    <x v="0"/>
    <m/>
    <x v="1"/>
    <x v="1"/>
    <x v="2"/>
    <n v="1"/>
    <m/>
    <x v="3"/>
    <n v="-1"/>
    <n v="0.5"/>
    <s v="Left"/>
    <n v="2.5"/>
    <x v="1"/>
    <x v="1"/>
    <x v="10"/>
    <x v="2"/>
  </r>
  <r>
    <n v="19"/>
    <x v="2"/>
    <x v="2"/>
    <n v="11"/>
    <n v="47"/>
    <n v="1"/>
    <s v="R"/>
    <x v="0"/>
    <m/>
    <x v="1"/>
    <x v="1"/>
    <x v="2"/>
    <n v="1"/>
    <m/>
    <x v="3"/>
    <n v="1"/>
    <n v="0.5"/>
    <s v="Left"/>
    <n v="2.5"/>
    <x v="1"/>
    <x v="1"/>
    <x v="10"/>
    <x v="2"/>
  </r>
  <r>
    <n v="20"/>
    <x v="3"/>
    <x v="3"/>
    <n v="10"/>
    <n v="46"/>
    <n v="0"/>
    <s v="R"/>
    <x v="0"/>
    <m/>
    <x v="0"/>
    <x v="1"/>
    <x v="0"/>
    <n v="1"/>
    <n v="0"/>
    <x v="3"/>
    <n v="0"/>
    <n v="0.5"/>
    <s v="Left"/>
    <n v="2.5"/>
    <x v="1"/>
    <x v="1"/>
    <x v="10"/>
    <x v="2"/>
  </r>
  <r>
    <n v="38"/>
    <x v="1"/>
    <x v="1"/>
    <n v="10"/>
    <n v="-28"/>
    <n v="2"/>
    <s v="M"/>
    <x v="0"/>
    <m/>
    <x v="1"/>
    <x v="1"/>
    <x v="2"/>
    <n v="1"/>
    <m/>
    <x v="3"/>
    <n v="2"/>
    <n v="0.5"/>
    <s v="Left"/>
    <n v="2.5"/>
    <x v="1"/>
    <x v="0"/>
    <x v="10"/>
    <x v="1"/>
  </r>
  <r>
    <n v="39"/>
    <x v="2"/>
    <x v="2"/>
    <n v="8"/>
    <n v="-30"/>
    <n v="10"/>
    <s v="L"/>
    <x v="0"/>
    <m/>
    <x v="1"/>
    <x v="0"/>
    <x v="2"/>
    <n v="1"/>
    <m/>
    <x v="3"/>
    <n v="10"/>
    <n v="2.5"/>
    <s v="Right"/>
    <n v="2.5"/>
    <x v="1"/>
    <x v="1"/>
    <x v="10"/>
    <x v="1"/>
  </r>
  <r>
    <n v="40"/>
    <x v="1"/>
    <x v="1"/>
    <n v="10"/>
    <n v="-40"/>
    <n v="5"/>
    <s v="R"/>
    <x v="0"/>
    <m/>
    <x v="1"/>
    <x v="1"/>
    <x v="2"/>
    <n v="1"/>
    <m/>
    <x v="3"/>
    <n v="5"/>
    <n v="0.5"/>
    <s v="Left"/>
    <n v="2.5"/>
    <x v="1"/>
    <x v="1"/>
    <x v="10"/>
    <x v="1"/>
  </r>
  <r>
    <n v="42"/>
    <x v="2"/>
    <x v="2"/>
    <n v="12"/>
    <n v="-38"/>
    <n v="3"/>
    <s v="R"/>
    <x v="0"/>
    <m/>
    <x v="1"/>
    <x v="1"/>
    <x v="2"/>
    <n v="1"/>
    <m/>
    <x v="3"/>
    <n v="3"/>
    <n v="0.5"/>
    <s v="Left"/>
    <n v="2.5"/>
    <x v="1"/>
    <x v="1"/>
    <x v="10"/>
    <x v="1"/>
  </r>
  <r>
    <n v="43"/>
    <x v="3"/>
    <x v="3"/>
    <n v="9"/>
    <n v="-41"/>
    <n v="0"/>
    <s v="R"/>
    <x v="0"/>
    <m/>
    <x v="0"/>
    <x v="1"/>
    <x v="0"/>
    <n v="1"/>
    <n v="0"/>
    <x v="3"/>
    <n v="0"/>
    <n v="0.5"/>
    <s v="Left"/>
    <n v="2.5"/>
    <x v="1"/>
    <x v="1"/>
    <x v="10"/>
    <x v="1"/>
  </r>
  <r>
    <n v="61"/>
    <x v="1"/>
    <x v="1"/>
    <n v="5"/>
    <n v="-25"/>
    <n v="0"/>
    <s v="M"/>
    <x v="0"/>
    <m/>
    <x v="0"/>
    <x v="0"/>
    <x v="0"/>
    <n v="1"/>
    <n v="0"/>
    <x v="3"/>
    <n v="0"/>
    <n v="2.5"/>
    <s v="Right"/>
    <n v="2.5"/>
    <x v="1"/>
    <x v="0"/>
    <x v="10"/>
    <x v="1"/>
  </r>
  <r>
    <n v="62"/>
    <x v="2"/>
    <x v="2"/>
    <n v="5"/>
    <n v="-25"/>
    <n v="0"/>
    <s v="M"/>
    <x v="0"/>
    <m/>
    <x v="0"/>
    <x v="0"/>
    <x v="0"/>
    <n v="1"/>
    <n v="0"/>
    <x v="3"/>
    <n v="0"/>
    <n v="2.5"/>
    <s v="Right"/>
    <n v="2.5"/>
    <x v="1"/>
    <x v="0"/>
    <x v="10"/>
    <x v="1"/>
  </r>
  <r>
    <n v="69"/>
    <x v="1"/>
    <x v="1"/>
    <n v="10"/>
    <n v="-16"/>
    <n v="0"/>
    <s v="R"/>
    <x v="0"/>
    <m/>
    <x v="0"/>
    <x v="1"/>
    <x v="0"/>
    <n v="1"/>
    <n v="0"/>
    <x v="3"/>
    <n v="0"/>
    <n v="0.5"/>
    <s v="Left"/>
    <n v="2.5"/>
    <x v="1"/>
    <x v="1"/>
    <x v="10"/>
    <x v="3"/>
  </r>
  <r>
    <n v="70"/>
    <x v="2"/>
    <x v="2"/>
    <n v="10"/>
    <n v="-16"/>
    <n v="3"/>
    <s v="R"/>
    <x v="0"/>
    <m/>
    <x v="1"/>
    <x v="1"/>
    <x v="2"/>
    <n v="1"/>
    <m/>
    <x v="3"/>
    <n v="3"/>
    <n v="0.5"/>
    <s v="Left"/>
    <n v="2.5"/>
    <x v="1"/>
    <x v="1"/>
    <x v="10"/>
    <x v="3"/>
  </r>
  <r>
    <n v="72"/>
    <x v="3"/>
    <x v="3"/>
    <n v="2"/>
    <n v="-24"/>
    <n v="9"/>
    <s v="R"/>
    <x v="0"/>
    <m/>
    <x v="0"/>
    <x v="0"/>
    <x v="0"/>
    <n v="1"/>
    <n v="1"/>
    <x v="1"/>
    <n v="9"/>
    <n v="2.5"/>
    <s v="Right"/>
    <n v="1.5"/>
    <x v="1"/>
    <x v="2"/>
    <x v="10"/>
    <x v="1"/>
  </r>
  <r>
    <n v="73"/>
    <x v="1"/>
    <x v="1"/>
    <n v="10"/>
    <n v="-33"/>
    <n v="0"/>
    <s v="R"/>
    <x v="0"/>
    <m/>
    <x v="0"/>
    <x v="0"/>
    <x v="0"/>
    <n v="1"/>
    <n v="0"/>
    <x v="3"/>
    <n v="0"/>
    <n v="2.5"/>
    <s v="Right"/>
    <n v="2.5"/>
    <x v="1"/>
    <x v="2"/>
    <x v="10"/>
    <x v="1"/>
  </r>
  <r>
    <n v="74"/>
    <x v="2"/>
    <x v="2"/>
    <n v="10"/>
    <n v="-33"/>
    <n v="2"/>
    <s v="R"/>
    <x v="0"/>
    <m/>
    <x v="1"/>
    <x v="1"/>
    <x v="2"/>
    <n v="1"/>
    <m/>
    <x v="3"/>
    <n v="2"/>
    <n v="0.5"/>
    <s v="Left"/>
    <n v="2.5"/>
    <x v="1"/>
    <x v="1"/>
    <x v="10"/>
    <x v="1"/>
  </r>
  <r>
    <n v="75"/>
    <x v="3"/>
    <x v="3"/>
    <n v="8"/>
    <n v="-35"/>
    <n v="0"/>
    <s v="L"/>
    <x v="0"/>
    <m/>
    <x v="1"/>
    <x v="0"/>
    <x v="2"/>
    <n v="1"/>
    <m/>
    <x v="3"/>
    <n v="0"/>
    <n v="2.5"/>
    <s v="Right"/>
    <n v="2.5"/>
    <x v="1"/>
    <x v="1"/>
    <x v="10"/>
    <x v="1"/>
  </r>
  <r>
    <n v="100"/>
    <x v="1"/>
    <x v="1"/>
    <n v="10"/>
    <n v="-35"/>
    <n v="3"/>
    <s v="L"/>
    <x v="0"/>
    <m/>
    <x v="1"/>
    <x v="0"/>
    <x v="2"/>
    <n v="1"/>
    <m/>
    <x v="3"/>
    <n v="3"/>
    <n v="2.5"/>
    <s v="Right"/>
    <n v="2.5"/>
    <x v="1"/>
    <x v="1"/>
    <x v="10"/>
    <x v="1"/>
  </r>
  <r>
    <n v="101"/>
    <x v="2"/>
    <x v="2"/>
    <n v="7"/>
    <n v="-38"/>
    <n v="0"/>
    <s v="R"/>
    <x v="0"/>
    <m/>
    <x v="0"/>
    <x v="1"/>
    <x v="0"/>
    <n v="1"/>
    <n v="0"/>
    <x v="3"/>
    <n v="0"/>
    <n v="0.5"/>
    <s v="Left"/>
    <n v="2.5"/>
    <x v="1"/>
    <x v="1"/>
    <x v="10"/>
    <x v="1"/>
  </r>
  <r>
    <n v="102"/>
    <x v="3"/>
    <x v="3"/>
    <n v="7"/>
    <n v="-38"/>
    <n v="10"/>
    <s v="R"/>
    <x v="0"/>
    <m/>
    <x v="1"/>
    <x v="0"/>
    <x v="3"/>
    <n v="1"/>
    <m/>
    <x v="3"/>
    <n v="10"/>
    <n v="2.5"/>
    <s v="Right"/>
    <n v="2.5"/>
    <x v="1"/>
    <x v="2"/>
    <x v="10"/>
    <x v="1"/>
  </r>
  <r>
    <n v="103"/>
    <x v="1"/>
    <x v="1"/>
    <n v="10"/>
    <n v="-48"/>
    <n v="0"/>
    <s v="R"/>
    <x v="0"/>
    <m/>
    <x v="0"/>
    <x v="1"/>
    <x v="0"/>
    <n v="1"/>
    <n v="0"/>
    <x v="3"/>
    <n v="0"/>
    <n v="0.5"/>
    <s v="Left"/>
    <n v="2.5"/>
    <x v="1"/>
    <x v="1"/>
    <x v="10"/>
    <x v="1"/>
  </r>
  <r>
    <n v="104"/>
    <x v="2"/>
    <x v="2"/>
    <n v="10"/>
    <n v="-48"/>
    <n v="4"/>
    <s v="R"/>
    <x v="0"/>
    <m/>
    <x v="1"/>
    <x v="0"/>
    <x v="2"/>
    <n v="1"/>
    <m/>
    <x v="3"/>
    <n v="4"/>
    <n v="2.5"/>
    <s v="Right"/>
    <n v="2.5"/>
    <x v="1"/>
    <x v="2"/>
    <x v="10"/>
    <x v="1"/>
  </r>
  <r>
    <n v="105"/>
    <x v="3"/>
    <x v="3"/>
    <n v="6"/>
    <n v="48"/>
    <n v="8"/>
    <s v="R"/>
    <x v="0"/>
    <m/>
    <x v="0"/>
    <x v="1"/>
    <x v="0"/>
    <n v="1"/>
    <n v="1"/>
    <x v="1"/>
    <n v="8"/>
    <n v="0.5"/>
    <s v="Left"/>
    <n v="1.5"/>
    <x v="1"/>
    <x v="1"/>
    <x v="10"/>
    <x v="2"/>
  </r>
  <r>
    <n v="107"/>
    <x v="2"/>
    <x v="2"/>
    <n v="10"/>
    <n v="40"/>
    <n v="0"/>
    <s v="R"/>
    <x v="0"/>
    <m/>
    <x v="0"/>
    <x v="0"/>
    <x v="0"/>
    <n v="1"/>
    <n v="0"/>
    <x v="3"/>
    <n v="0"/>
    <n v="2.5"/>
    <s v="Right"/>
    <n v="2.5"/>
    <x v="1"/>
    <x v="2"/>
    <x v="10"/>
    <x v="2"/>
  </r>
  <r>
    <n v="108"/>
    <x v="3"/>
    <x v="3"/>
    <n v="10"/>
    <n v="40"/>
    <n v="-4"/>
    <s v="R"/>
    <x v="0"/>
    <m/>
    <x v="0"/>
    <x v="1"/>
    <x v="0"/>
    <n v="1"/>
    <n v="1"/>
    <x v="0"/>
    <n v="-4"/>
    <n v="0.5"/>
    <s v="Left"/>
    <n v="0.5"/>
    <x v="1"/>
    <x v="1"/>
    <x v="10"/>
    <x v="2"/>
  </r>
  <r>
    <n v="115"/>
    <x v="1"/>
    <x v="1"/>
    <n v="10"/>
    <n v="-10"/>
    <n v="0"/>
    <s v="R"/>
    <x v="0"/>
    <m/>
    <x v="0"/>
    <x v="1"/>
    <x v="0"/>
    <n v="1"/>
    <n v="1"/>
    <x v="0"/>
    <n v="0"/>
    <n v="0.5"/>
    <s v="Left"/>
    <n v="0.5"/>
    <x v="1"/>
    <x v="1"/>
    <x v="10"/>
    <x v="3"/>
  </r>
  <r>
    <n v="117"/>
    <x v="2"/>
    <x v="2"/>
    <n v="15"/>
    <n v="-5"/>
    <n v="2"/>
    <s v="R"/>
    <x v="0"/>
    <m/>
    <x v="0"/>
    <x v="1"/>
    <x v="0"/>
    <n v="1"/>
    <n v="1"/>
    <x v="0"/>
    <n v="2"/>
    <n v="0.5"/>
    <s v="Left"/>
    <n v="0.5"/>
    <x v="1"/>
    <x v="1"/>
    <x v="10"/>
    <x v="3"/>
  </r>
  <r>
    <n v="118"/>
    <x v="3"/>
    <x v="3"/>
    <n v="13"/>
    <n v="-7"/>
    <n v="-6"/>
    <s v="L"/>
    <x v="0"/>
    <m/>
    <x v="0"/>
    <x v="2"/>
    <x v="0"/>
    <n v="1"/>
    <n v="0"/>
    <x v="0"/>
    <n v="-6"/>
    <n v="1.5"/>
    <s v="Middle"/>
    <n v="0.5"/>
    <x v="1"/>
    <x v="0"/>
    <x v="10"/>
    <x v="3"/>
  </r>
  <r>
    <n v="126"/>
    <x v="1"/>
    <x v="1"/>
    <n v="10"/>
    <n v="-35"/>
    <n v="0"/>
    <s v="M"/>
    <x v="0"/>
    <m/>
    <x v="1"/>
    <x v="0"/>
    <x v="2"/>
    <n v="1"/>
    <m/>
    <x v="3"/>
    <n v="0"/>
    <n v="2.5"/>
    <s v="Right"/>
    <n v="2.5"/>
    <x v="1"/>
    <x v="0"/>
    <x v="10"/>
    <x v="1"/>
  </r>
  <r>
    <n v="127"/>
    <x v="2"/>
    <x v="2"/>
    <n v="10"/>
    <n v="-35"/>
    <n v="-5"/>
    <s v="R"/>
    <x v="0"/>
    <m/>
    <x v="0"/>
    <x v="2"/>
    <x v="0"/>
    <n v="1"/>
    <n v="0"/>
    <x v="0"/>
    <n v="-5"/>
    <n v="1.5"/>
    <s v="Middle"/>
    <n v="0.5"/>
    <x v="1"/>
    <x v="0"/>
    <x v="10"/>
    <x v="1"/>
  </r>
  <r>
    <n v="128"/>
    <x v="3"/>
    <x v="3"/>
    <n v="15"/>
    <n v="-30"/>
    <n v="0"/>
    <s v="M"/>
    <x v="0"/>
    <m/>
    <x v="0"/>
    <x v="0"/>
    <x v="0"/>
    <n v="1"/>
    <n v="0"/>
    <x v="3"/>
    <n v="0"/>
    <n v="2.5"/>
    <s v="Right"/>
    <n v="2.5"/>
    <x v="1"/>
    <x v="0"/>
    <x v="10"/>
    <x v="1"/>
  </r>
  <r>
    <n v="136"/>
    <x v="1"/>
    <x v="1"/>
    <n v="10"/>
    <n v="-23"/>
    <n v="15"/>
    <s v="R"/>
    <x v="0"/>
    <m/>
    <x v="1"/>
    <x v="0"/>
    <x v="2"/>
    <n v="1"/>
    <m/>
    <x v="3"/>
    <n v="15"/>
    <n v="2.5"/>
    <s v="Right"/>
    <n v="2.5"/>
    <x v="1"/>
    <x v="2"/>
    <x v="10"/>
    <x v="1"/>
  </r>
  <r>
    <n v="137"/>
    <x v="1"/>
    <x v="1"/>
    <n v="10"/>
    <n v="-38"/>
    <n v="6"/>
    <s v="R"/>
    <x v="0"/>
    <m/>
    <x v="1"/>
    <x v="0"/>
    <x v="2"/>
    <n v="1"/>
    <m/>
    <x v="3"/>
    <n v="6"/>
    <n v="2.5"/>
    <s v="Right"/>
    <n v="2.5"/>
    <x v="1"/>
    <x v="2"/>
    <x v="10"/>
    <x v="1"/>
  </r>
  <r>
    <n v="138"/>
    <x v="2"/>
    <x v="2"/>
    <n v="4"/>
    <n v="-44"/>
    <n v="4"/>
    <s v="R"/>
    <x v="0"/>
    <m/>
    <x v="1"/>
    <x v="1"/>
    <x v="2"/>
    <n v="1"/>
    <m/>
    <x v="3"/>
    <n v="4"/>
    <n v="0.5"/>
    <s v="Left"/>
    <n v="2.5"/>
    <x v="1"/>
    <x v="1"/>
    <x v="10"/>
    <x v="1"/>
  </r>
  <r>
    <n v="139"/>
    <x v="1"/>
    <x v="1"/>
    <n v="10"/>
    <n v="-48"/>
    <n v="0"/>
    <s v="R"/>
    <x v="0"/>
    <m/>
    <x v="1"/>
    <x v="1"/>
    <x v="2"/>
    <n v="1"/>
    <m/>
    <x v="3"/>
    <n v="0"/>
    <n v="0.5"/>
    <s v="Left"/>
    <n v="2.5"/>
    <x v="1"/>
    <x v="1"/>
    <x v="10"/>
    <x v="1"/>
  </r>
  <r>
    <n v="140"/>
    <x v="2"/>
    <x v="2"/>
    <n v="10"/>
    <n v="-48"/>
    <n v="0"/>
    <s v="R"/>
    <x v="0"/>
    <m/>
    <x v="0"/>
    <x v="1"/>
    <x v="0"/>
    <n v="1"/>
    <n v="1"/>
    <x v="0"/>
    <n v="0"/>
    <n v="0.5"/>
    <s v="Left"/>
    <n v="0.5"/>
    <x v="1"/>
    <x v="1"/>
    <x v="10"/>
    <x v="1"/>
  </r>
  <r>
    <n v="141"/>
    <x v="3"/>
    <x v="3"/>
    <n v="10"/>
    <n v="-48"/>
    <n v="3"/>
    <s v="L"/>
    <x v="0"/>
    <m/>
    <x v="0"/>
    <x v="0"/>
    <x v="0"/>
    <n v="1"/>
    <n v="1"/>
    <x v="0"/>
    <n v="3"/>
    <n v="2.5"/>
    <s v="Right"/>
    <n v="0.5"/>
    <x v="1"/>
    <x v="1"/>
    <x v="10"/>
    <x v="1"/>
  </r>
  <r>
    <n v="142"/>
    <x v="4"/>
    <x v="4"/>
    <n v="7"/>
    <n v="49"/>
    <n v="0"/>
    <s v="R"/>
    <x v="0"/>
    <m/>
    <x v="0"/>
    <x v="1"/>
    <x v="0"/>
    <n v="1"/>
    <n v="1"/>
    <x v="0"/>
    <n v="0"/>
    <n v="0.5"/>
    <s v="Left"/>
    <n v="0.5"/>
    <x v="1"/>
    <x v="1"/>
    <x v="10"/>
    <x v="2"/>
  </r>
  <r>
    <n v="147"/>
    <x v="1"/>
    <x v="1"/>
    <n v="10"/>
    <n v="-24"/>
    <n v="0"/>
    <s v="M"/>
    <x v="0"/>
    <m/>
    <x v="0"/>
    <x v="1"/>
    <x v="0"/>
    <n v="1"/>
    <n v="0"/>
    <x v="3"/>
    <n v="0"/>
    <n v="0.5"/>
    <s v="Left"/>
    <n v="2.5"/>
    <x v="1"/>
    <x v="0"/>
    <x v="10"/>
    <x v="1"/>
  </r>
  <r>
    <n v="151"/>
    <x v="1"/>
    <x v="1"/>
    <n v="10"/>
    <n v="-26"/>
    <n v="1"/>
    <s v="R"/>
    <x v="0"/>
    <m/>
    <x v="1"/>
    <x v="1"/>
    <x v="2"/>
    <n v="1"/>
    <m/>
    <x v="3"/>
    <n v="1"/>
    <n v="0.5"/>
    <s v="Left"/>
    <n v="2.5"/>
    <x v="1"/>
    <x v="1"/>
    <x v="10"/>
    <x v="1"/>
  </r>
  <r>
    <n v="152"/>
    <x v="2"/>
    <x v="2"/>
    <n v="9"/>
    <n v="-27"/>
    <n v="-1"/>
    <s v="L"/>
    <x v="0"/>
    <m/>
    <x v="0"/>
    <x v="2"/>
    <x v="0"/>
    <n v="1"/>
    <n v="0"/>
    <x v="0"/>
    <n v="-1"/>
    <n v="1.5"/>
    <s v="Middle"/>
    <n v="0.5"/>
    <x v="1"/>
    <x v="0"/>
    <x v="10"/>
    <x v="1"/>
  </r>
  <r>
    <n v="154"/>
    <x v="3"/>
    <x v="3"/>
    <n v="10"/>
    <n v="-26"/>
    <n v="3"/>
    <s v="R"/>
    <x v="0"/>
    <m/>
    <x v="0"/>
    <x v="1"/>
    <x v="0"/>
    <n v="1"/>
    <n v="1"/>
    <x v="0"/>
    <n v="3"/>
    <n v="0.5"/>
    <s v="Left"/>
    <n v="0.5"/>
    <x v="1"/>
    <x v="1"/>
    <x v="10"/>
    <x v="1"/>
  </r>
  <r>
    <n v="166"/>
    <x v="1"/>
    <x v="1"/>
    <n v="10"/>
    <n v="-35"/>
    <n v="0"/>
    <s v="M"/>
    <x v="0"/>
    <m/>
    <x v="0"/>
    <x v="1"/>
    <x v="0"/>
    <n v="1"/>
    <n v="0"/>
    <x v="3"/>
    <n v="0"/>
    <n v="0.5"/>
    <s v="Left"/>
    <n v="2.5"/>
    <x v="1"/>
    <x v="0"/>
    <x v="10"/>
    <x v="1"/>
  </r>
  <r>
    <n v="167"/>
    <x v="2"/>
    <x v="2"/>
    <n v="10"/>
    <n v="-35"/>
    <n v="-1"/>
    <s v="M"/>
    <x v="0"/>
    <m/>
    <x v="0"/>
    <x v="2"/>
    <x v="0"/>
    <n v="1"/>
    <n v="0"/>
    <x v="0"/>
    <n v="-1"/>
    <n v="1.5"/>
    <s v="Middle"/>
    <n v="0.5"/>
    <x v="1"/>
    <x v="0"/>
    <x v="10"/>
    <x v="1"/>
  </r>
  <r>
    <n v="168"/>
    <x v="3"/>
    <x v="3"/>
    <n v="11"/>
    <n v="-34"/>
    <n v="0"/>
    <s v="R"/>
    <x v="0"/>
    <m/>
    <x v="0"/>
    <x v="0"/>
    <x v="0"/>
    <n v="1"/>
    <n v="0"/>
    <x v="3"/>
    <n v="0"/>
    <n v="2.5"/>
    <s v="Right"/>
    <n v="2.5"/>
    <x v="1"/>
    <x v="2"/>
    <x v="1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5000000}" name="PivotTable6" cacheId="0" applyNumberFormats="0" applyBorderFormats="0" applyFontFormats="0" applyPatternFormats="0" applyAlignmentFormats="0" applyWidthHeightFormats="1" dataCaption="Values" updatedVersion="6" minRefreshableVersion="3" itemPrintTitles="1" createdVersion="6" indent="0" outline="1" outlineData="1" multipleFieldFilters="0" chartFormat="3">
  <location ref="A47:E50" firstHeaderRow="0" firstDataRow="1" firstDataCol="1" rowPageCount="1" colPageCount="1"/>
  <pivotFields count="25">
    <pivotField dataField="1" subtotalTop="0" showAll="0"/>
    <pivotField axis="axisPage" showAll="0">
      <items count="7">
        <item m="1" x="5"/>
        <item x="0"/>
        <item x="1"/>
        <item x="2"/>
        <item x="3"/>
        <item x="4"/>
        <item t="default"/>
      </items>
    </pivotField>
    <pivotField subtotalTop="0" showAll="0"/>
    <pivotField subtotalTop="0" showAll="0"/>
    <pivotField subtotalTop="0" showAll="0"/>
    <pivotField subtotalTop="0" showAll="0"/>
    <pivotField showAll="0"/>
    <pivotField showAll="0"/>
    <pivotField showAll="0"/>
    <pivotField axis="axisRow" subtotalTop="0" showAll="0">
      <items count="4">
        <item x="1"/>
        <item x="0"/>
        <item h="1" m="1" x="2"/>
        <item t="default"/>
      </items>
    </pivotField>
    <pivotField subtotalTop="0" showAll="0"/>
    <pivotField subtotalTop="0" showAll="0"/>
    <pivotField dataField="1" subtotalTop="0" showAll="0"/>
    <pivotField subtotalTop="0" showAll="0"/>
    <pivotField showAll="0"/>
    <pivotField dataField="1" subtotalTop="0"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</pivotFields>
  <rowFields count="1">
    <field x="9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" hier="-1"/>
  </pageFields>
  <dataFields count="4">
    <dataField name="Sum of Attempts" fld="12" baseField="9" baseItem="1"/>
    <dataField name="Count of Play" fld="0" subtotal="count" showDataAs="percentOfCol" baseField="5" baseItem="1" numFmtId="10"/>
    <dataField name="Yards " fld="15" baseField="5" baseItem="0"/>
    <dataField name="Sum of Yds per Att" fld="24" baseField="0" baseItem="0"/>
  </dataFields>
  <formats count="13">
    <format dxfId="112">
      <pivotArea collapsedLevelsAreSubtotals="1" fieldPosition="0">
        <references count="2">
          <reference field="4294967294" count="1" selected="0">
            <x v="1"/>
          </reference>
          <reference field="9" count="0"/>
        </references>
      </pivotArea>
    </format>
    <format dxfId="111">
      <pivotArea collapsedLevelsAreSubtotals="1" fieldPosition="0">
        <references count="2">
          <reference field="4294967294" count="1" selected="0">
            <x v="1"/>
          </reference>
          <reference field="9" count="0"/>
        </references>
      </pivotArea>
    </format>
    <format dxfId="110">
      <pivotArea collapsedLevelsAreSubtotals="1" fieldPosition="0">
        <references count="2">
          <reference field="4294967294" count="1" selected="0">
            <x v="3"/>
          </reference>
          <reference field="9" count="0"/>
        </references>
      </pivotArea>
    </format>
    <format dxfId="109">
      <pivotArea collapsedLevelsAreSubtotals="1" fieldPosition="0">
        <references count="2">
          <reference field="4294967294" count="1" selected="0">
            <x v="3"/>
          </reference>
          <reference field="9" count="0"/>
        </references>
      </pivotArea>
    </format>
    <format dxfId="108">
      <pivotArea collapsedLevelsAreSubtotals="1" fieldPosition="0">
        <references count="2">
          <reference field="4294967294" count="1" selected="0">
            <x v="3"/>
          </reference>
          <reference field="9" count="0"/>
        </references>
      </pivotArea>
    </format>
    <format dxfId="107">
      <pivotArea collapsedLevelsAreSubtotals="1" fieldPosition="0">
        <references count="2">
          <reference field="4294967294" count="1" selected="0">
            <x v="3"/>
          </reference>
          <reference field="9" count="0"/>
        </references>
      </pivotArea>
    </format>
    <format dxfId="106">
      <pivotArea collapsedLevelsAreSubtotals="1" fieldPosition="0">
        <references count="2">
          <reference field="4294967294" count="1" selected="0">
            <x v="3"/>
          </reference>
          <reference field="9" count="0"/>
        </references>
      </pivotArea>
    </format>
    <format dxfId="105">
      <pivotArea collapsedLevelsAreSubtotals="1" fieldPosition="0">
        <references count="2">
          <reference field="4294967294" count="1" selected="0">
            <x v="3"/>
          </reference>
          <reference field="9" count="0"/>
        </references>
      </pivotArea>
    </format>
    <format dxfId="104">
      <pivotArea collapsedLevelsAreSubtotals="1" fieldPosition="0">
        <references count="2">
          <reference field="4294967294" count="1" selected="0">
            <x v="3"/>
          </reference>
          <reference field="9" count="0"/>
        </references>
      </pivotArea>
    </format>
    <format dxfId="103">
      <pivotArea collapsedLevelsAreSubtotals="1" fieldPosition="0">
        <references count="2">
          <reference field="4294967294" count="1" selected="0">
            <x v="3"/>
          </reference>
          <reference field="9" count="0"/>
        </references>
      </pivotArea>
    </format>
    <format dxfId="102">
      <pivotArea collapsedLevelsAreSubtotals="1" fieldPosition="0">
        <references count="2">
          <reference field="4294967294" count="1" selected="0">
            <x v="3"/>
          </reference>
          <reference field="9" count="0"/>
        </references>
      </pivotArea>
    </format>
    <format dxfId="101">
      <pivotArea field="9" type="button" dataOnly="0" labelOnly="1" outline="0" axis="axisRow" fieldPosition="0"/>
    </format>
    <format dxfId="10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2"/>
          </reference>
          <reference field="9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2"/>
          </reference>
          <reference field="9" count="1" selected="0">
            <x v="0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8000000}" name="PivotTable9" cacheId="14" applyNumberFormats="0" applyBorderFormats="0" applyFontFormats="0" applyPatternFormats="0" applyAlignmentFormats="0" applyWidthHeightFormats="1" dataCaption="Values" updatedVersion="6" minRefreshableVersion="3" itemPrintTitles="1" createdVersion="6" indent="0" outline="1" outlineData="1" multipleFieldFilters="0">
  <location ref="A97:E98" firstHeaderRow="0" firstDataRow="1" firstDataCol="1" rowPageCount="1" colPageCount="1"/>
  <pivotFields count="24">
    <pivotField subtotalTop="0" showAll="0"/>
    <pivotField axis="axisPage" showAll="0">
      <items count="6">
        <item x="0"/>
        <item x="1"/>
        <item x="2"/>
        <item x="3"/>
        <item x="4"/>
        <item t="default"/>
      </items>
    </pivotField>
    <pivotField subtotalTop="0" showAll="0"/>
    <pivotField subtotalTop="0" showAll="0"/>
    <pivotField subtotalTop="0" showAll="0"/>
    <pivotField subtotalTop="0" showAll="0"/>
    <pivotField subtotalTop="0" showAll="0"/>
    <pivotField axis="axisRow" subtotalTop="0" showAll="0">
      <items count="5">
        <item m="1" x="1"/>
        <item m="1" x="3"/>
        <item m="1" x="2"/>
        <item h="1" x="0"/>
        <item t="default"/>
      </items>
    </pivotField>
    <pivotField subtotalTop="0" showAll="0"/>
    <pivotField subtotalTop="0" showAll="0"/>
    <pivotField subtotalTop="0" showAll="0"/>
    <pivotField subtotalTop="0" showAll="0"/>
    <pivotField dataField="1" subtotalTop="0" showAll="0"/>
    <pivotField subtotalTop="0" showAll="0"/>
    <pivotField showAll="0"/>
    <pivotField dataField="1" subtotalTop="0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7"/>
  </rowFields>
  <rowItems count="1"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" hier="-1"/>
  </pageFields>
  <dataFields count="4">
    <dataField name="Sum of Attempts" fld="12" showDataAs="percentOfCol" baseField="19" baseItem="2" numFmtId="10"/>
    <dataField name="Sum of Attempts2" fld="12" baseField="19" baseItem="2"/>
    <dataField name="Sum of Yards" fld="15" baseField="9" baseItem="0"/>
    <dataField name="Sum of Yrd per Att/" fld="23" baseField="0" baseItem="0"/>
  </dataFields>
  <formats count="5">
    <format dxfId="117">
      <pivotArea field="10" dataOnly="0" labelOnly="1" outline="0">
        <references count="1">
          <reference field="4294967294" count="1" selected="0">
            <x v="1"/>
          </reference>
        </references>
      </pivotArea>
    </format>
    <format dxfId="116">
      <pivotArea field="10" dataOnly="0" labelOnly="1" outline="0">
        <references count="1">
          <reference field="4294967294" count="1" selected="0">
            <x v="2"/>
          </reference>
        </references>
      </pivotArea>
    </format>
    <format dxfId="115">
      <pivotArea field="10" dataOnly="0" labelOnly="1" outline="0">
        <references count="1">
          <reference field="4294967294" count="1" selected="0">
            <x v="1"/>
          </reference>
        </references>
      </pivotArea>
    </format>
    <format dxfId="114">
      <pivotArea field="10" dataOnly="0" labelOnly="1" outline="0">
        <references count="1">
          <reference field="4294967294" count="1" selected="0">
            <x v="2"/>
          </reference>
        </references>
      </pivotArea>
    </format>
    <format dxfId="113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7000000}" name="PivotTable8" cacheId="14" applyNumberFormats="0" applyBorderFormats="0" applyFontFormats="0" applyPatternFormats="0" applyAlignmentFormats="0" applyWidthHeightFormats="1" dataCaption="Values" updatedVersion="6" minRefreshableVersion="3" itemPrintTitles="1" createdVersion="6" indent="0" outline="1" outlineData="1" multipleFieldFilters="0">
  <location ref="A9:M15" firstHeaderRow="1" firstDataRow="3" firstDataCol="1" rowPageCount="2" colPageCount="1"/>
  <pivotFields count="24">
    <pivotField showAll="0"/>
    <pivotField axis="axisPage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m="1" x="2"/>
        <item t="default"/>
      </items>
    </pivotField>
    <pivotField axis="axisRow" subtotalTop="0" showAll="0">
      <items count="5">
        <item x="1"/>
        <item x="2"/>
        <item x="0"/>
        <item m="1" x="3"/>
        <item t="default"/>
      </items>
    </pivotField>
    <pivotField showAll="0"/>
    <pivotField dataField="1" showAll="0"/>
    <pivotField dataField="1" showAll="0"/>
    <pivotField axis="axisCol" showAll="0">
      <items count="6">
        <item x="2"/>
        <item x="1"/>
        <item x="0"/>
        <item h="1" x="3"/>
        <item h="1" m="1" x="4"/>
        <item t="default"/>
      </items>
    </pivotField>
    <pivotField dataField="1" subtotalTop="0"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10"/>
  </rowFields>
  <rowItems count="4">
    <i>
      <x/>
    </i>
    <i>
      <x v="1"/>
    </i>
    <i>
      <x v="2"/>
    </i>
    <i t="grand">
      <x/>
    </i>
  </rowItems>
  <colFields count="2">
    <field x="-2"/>
    <field x="14"/>
  </colFields>
  <colItems count="12">
    <i>
      <x/>
      <x/>
    </i>
    <i r="1">
      <x v="1"/>
    </i>
    <i r="1">
      <x v="2"/>
    </i>
    <i i="1">
      <x v="1"/>
      <x/>
    </i>
    <i r="1" i="1">
      <x v="1"/>
    </i>
    <i r="1" i="1">
      <x v="2"/>
    </i>
    <i i="2">
      <x v="2"/>
      <x/>
    </i>
    <i r="1" i="2">
      <x v="1"/>
    </i>
    <i r="1" i="2">
      <x v="2"/>
    </i>
    <i t="grand">
      <x/>
    </i>
    <i t="grand" i="1">
      <x/>
    </i>
    <i t="grand" i="2">
      <x/>
    </i>
  </colItems>
  <pageFields count="2">
    <pageField fld="1" hier="-1"/>
    <pageField fld="9" item="0" hier="-1"/>
  </pageFields>
  <dataFields count="3">
    <dataField name="Attempted" fld="12" baseField="1" baseItem="0"/>
    <dataField name="Completed" fld="13" baseField="1" baseItem="0"/>
    <dataField name="Yard" fld="15" baseField="1" baseItem="1"/>
  </dataFields>
  <formats count="10">
    <format dxfId="12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26">
      <pivotArea field="14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125">
      <pivotArea field="14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124">
      <pivotArea field="14" dataOnly="0" labelOnly="1" grandCol="1" outline="0" axis="axisCol" fieldPosition="1">
        <references count="1">
          <reference field="4294967294" count="1" selected="0">
            <x v="2"/>
          </reference>
        </references>
      </pivotArea>
    </format>
    <format dxfId="123">
      <pivotArea field="14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122">
      <pivotArea field="14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121">
      <pivotArea field="14" dataOnly="0" labelOnly="1" grandCol="1" outline="0" axis="axisCol" fieldPosition="1">
        <references count="1">
          <reference field="4294967294" count="1" selected="0">
            <x v="2"/>
          </reference>
        </references>
      </pivotArea>
    </format>
    <format dxfId="120">
      <pivotArea field="14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119">
      <pivotArea field="14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118">
      <pivotArea field="14" dataOnly="0" labelOnly="1" grandCol="1" outline="0" axis="axisCol" fieldPosition="1">
        <references count="1">
          <reference field="4294967294" count="1" selected="0">
            <x v="2"/>
          </reference>
        </references>
      </pivotArea>
    </format>
  </formats>
  <pivotTableStyleInfo name="PivotStyleMedium8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PivotTable3" cacheId="14" applyNumberFormats="0" applyBorderFormats="0" applyFontFormats="0" applyPatternFormats="0" applyAlignmentFormats="0" applyWidthHeightFormats="1" dataCaption="Values" updatedVersion="6" minRefreshableVersion="3" itemPrintTitles="1" createdVersion="6" indent="0" outline="1" outlineData="1" multipleFieldFilters="0">
  <location ref="A68:G75" firstHeaderRow="1" firstDataRow="3" firstDataCol="1" rowPageCount="1" colPageCount="1"/>
  <pivotFields count="24">
    <pivotField subtotalTop="0" showAll="0"/>
    <pivotField axis="axisPage" showAll="0">
      <items count="6">
        <item x="0"/>
        <item x="1"/>
        <item x="2"/>
        <item x="3"/>
        <item x="4"/>
        <item t="default"/>
      </items>
    </pivotField>
    <pivotField axis="axisRow" subtotalTop="0" showAll="0">
      <items count="6">
        <item x="1"/>
        <item x="2"/>
        <item x="3"/>
        <item x="4"/>
        <item h="1" x="0"/>
        <item t="default"/>
      </items>
    </pivotField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axis="axisCol" subtotalTop="0" showAll="0">
      <items count="4">
        <item x="1"/>
        <item x="0"/>
        <item m="1" x="2"/>
        <item t="default"/>
      </items>
    </pivotField>
    <pivotField subtotalTop="0" showAll="0"/>
    <pivotField subtotalTop="0" showAll="0"/>
    <pivotField dataField="1" subtotalTop="0" showAll="0"/>
    <pivotField subtotalTop="0" showAll="0"/>
    <pivotField showAll="0"/>
    <pivotField subtotalTop="0"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2">
    <field x="9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pageFields count="1">
    <pageField fld="1" hier="-1"/>
  </pageFields>
  <dataFields count="2">
    <dataField name="Count of Attempts" fld="12" subtotal="count" baseField="0" baseItem="0"/>
    <dataField name="% Attempts" fld="12" subtotal="count" showDataAs="percentOfRow" baseField="1" baseItem="0" numFmtId="10"/>
  </dataFields>
  <formats count="6">
    <format dxfId="133">
      <pivotArea outline="0" collapsedLevelsAreSubtotals="1" fieldPosition="0">
        <references count="2">
          <reference field="4294967294" count="1" selected="0">
            <x v="1"/>
          </reference>
          <reference field="9" count="1" selected="0">
            <x v="0"/>
          </reference>
        </references>
      </pivotArea>
    </format>
    <format dxfId="132">
      <pivotArea outline="0" collapsedLevelsAreSubtotals="1" fieldPosition="0">
        <references count="2">
          <reference field="4294967294" count="1" selected="0">
            <x v="1"/>
          </reference>
          <reference field="9" count="1" selected="0">
            <x v="0"/>
          </reference>
        </references>
      </pivotArea>
    </format>
    <format dxfId="131">
      <pivotArea outline="0" collapsedLevelsAreSubtotals="1" fieldPosition="0">
        <references count="2">
          <reference field="4294967294" count="1" selected="0">
            <x v="1"/>
          </reference>
          <reference field="9" count="1" selected="0">
            <x v="1"/>
          </reference>
        </references>
      </pivotArea>
    </format>
    <format dxfId="130">
      <pivotArea outline="0" collapsedLevelsAreSubtotals="1" fieldPosition="0">
        <references count="2">
          <reference field="4294967294" count="1" selected="0">
            <x v="1"/>
          </reference>
          <reference field="9" count="1" selected="0">
            <x v="1"/>
          </reference>
        </references>
      </pivotArea>
    </format>
    <format dxfId="129">
      <pivotArea field="9" grandCol="1" outline="0" collapsedLevelsAreSubtotals="1" axis="axisCol" fieldPosition="0">
        <references count="1">
          <reference field="4294967294" count="1" selected="0">
            <x v="1"/>
          </reference>
        </references>
      </pivotArea>
    </format>
    <format dxfId="128">
      <pivotArea field="9" grandCol="1" outline="0" collapsedLevelsAreSubtotals="1" axis="axisCol" fieldPosition="0">
        <references count="1">
          <reference field="4294967294" count="1" selected="0">
            <x v="1"/>
          </reference>
        </references>
      </pivotArea>
    </format>
  </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PivotTable2" cacheId="14" applyNumberFormats="0" applyBorderFormats="0" applyFontFormats="0" applyPatternFormats="0" applyAlignmentFormats="0" applyWidthHeightFormats="1" dataCaption="Values" updatedVersion="6" minRefreshableVersion="3" itemPrintTitles="1" createdVersion="6" indent="0" outline="1" outlineData="1" multipleFieldFilters="0">
  <location ref="A125:AG139" firstHeaderRow="1" firstDataRow="4" firstDataCol="1" rowPageCount="1" colPageCount="1"/>
  <pivotFields count="24">
    <pivotField showAll="0"/>
    <pivotField axis="axisPage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0"/>
        <item m="1" x="2"/>
        <item t="default"/>
      </items>
    </pivotField>
    <pivotField showAll="0"/>
    <pivotField showAll="0"/>
    <pivotField dataField="1" showAll="0"/>
    <pivotField showAll="0"/>
    <pivotField subtotalTop="0" showAll="0"/>
    <pivotField showAll="0"/>
    <pivotField subtotalTop="0" showAll="0"/>
    <pivotField subtotalTop="0" showAll="0"/>
    <pivotField subtotalTop="0" showAll="0"/>
    <pivotField subtotalTop="0" showAll="0"/>
    <pivotField subtotalTop="0" showAll="0"/>
    <pivotField axis="axisRow" showAll="0" sortType="ascending">
      <items count="23">
        <item h="1" x="0"/>
        <item x="1"/>
        <item x="8"/>
        <item x="2"/>
        <item x="4"/>
        <item x="7"/>
        <item x="3"/>
        <item x="6"/>
        <item x="5"/>
        <item x="9"/>
        <item m="1" x="11"/>
        <item m="1" x="19"/>
        <item m="1" x="17"/>
        <item m="1" x="12"/>
        <item m="1" x="20"/>
        <item m="1" x="21"/>
        <item m="1" x="16"/>
        <item m="1" x="13"/>
        <item m="1" x="14"/>
        <item m="1" x="15"/>
        <item m="1" x="18"/>
        <item x="10"/>
        <item t="default"/>
      </items>
    </pivotField>
    <pivotField axis="axisCol" showAll="0">
      <items count="7">
        <item x="3"/>
        <item x="1"/>
        <item x="2"/>
        <item x="4"/>
        <item x="0"/>
        <item m="1" x="5"/>
        <item t="default"/>
      </items>
    </pivotField>
    <pivotField subtotalTop="0" dragToRow="0" dragToCol="0" dragToPage="0" showAll="0" defaultSubtotal="0"/>
  </pivotFields>
  <rowFields count="1">
    <field x="21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21"/>
    </i>
    <i t="grand">
      <x/>
    </i>
  </rowItems>
  <colFields count="3">
    <field x="-2"/>
    <field x="22"/>
    <field x="9"/>
  </colFields>
  <colItems count="32">
    <i>
      <x/>
      <x/>
      <x/>
    </i>
    <i r="2">
      <x v="1"/>
    </i>
    <i t="default" r="1">
      <x/>
    </i>
    <i r="1">
      <x v="1"/>
      <x/>
    </i>
    <i r="2">
      <x v="1"/>
    </i>
    <i t="default" r="1">
      <x v="1"/>
    </i>
    <i r="1">
      <x v="2"/>
      <x/>
    </i>
    <i r="2">
      <x v="1"/>
    </i>
    <i t="default" r="1">
      <x v="2"/>
    </i>
    <i r="1">
      <x v="3"/>
      <x/>
    </i>
    <i r="2">
      <x v="1"/>
    </i>
    <i t="default" r="1">
      <x v="3"/>
    </i>
    <i r="1">
      <x v="4"/>
      <x/>
    </i>
    <i r="2">
      <x v="1"/>
    </i>
    <i t="default" r="1">
      <x v="4"/>
    </i>
    <i i="1">
      <x v="1"/>
      <x/>
      <x/>
    </i>
    <i r="2" i="1">
      <x v="1"/>
    </i>
    <i t="default" r="1" i="1">
      <x/>
    </i>
    <i r="1" i="1">
      <x v="1"/>
      <x/>
    </i>
    <i r="2" i="1">
      <x v="1"/>
    </i>
    <i t="default" r="1" i="1">
      <x v="1"/>
    </i>
    <i r="1" i="1">
      <x v="2"/>
      <x/>
    </i>
    <i r="2" i="1">
      <x v="1"/>
    </i>
    <i t="default" r="1" i="1">
      <x v="2"/>
    </i>
    <i r="1" i="1">
      <x v="3"/>
      <x/>
    </i>
    <i r="2" i="1">
      <x v="1"/>
    </i>
    <i t="default" r="1" i="1">
      <x v="3"/>
    </i>
    <i r="1" i="1">
      <x v="4"/>
      <x/>
    </i>
    <i r="2" i="1">
      <x v="1"/>
    </i>
    <i t="default" r="1" i="1">
      <x v="4"/>
    </i>
    <i t="grand">
      <x/>
    </i>
    <i t="grand" i="1">
      <x/>
    </i>
  </colItems>
  <pageFields count="1">
    <pageField fld="1" hier="-1"/>
  </pageFields>
  <dataFields count="2">
    <dataField name="Count of Attempts" fld="12" subtotal="count" baseField="0" baseItem="0"/>
    <dataField name="% Attempts" fld="12" subtotal="count" baseField="5" baseItem="0" numFmtId="10">
      <extLst>
        <ext xmlns:x14="http://schemas.microsoft.com/office/spreadsheetml/2009/9/main" uri="{E15A36E0-9728-4e99-A89B-3F7291B0FE68}">
          <x14:dataField pivotShowAs="percentOfParentCol"/>
        </ext>
      </extLst>
    </dataField>
  </dataFields>
  <formats count="15">
    <format dxfId="148">
      <pivotArea field="10" dataOnly="0" labelOnly="1" grandRow="1" outline="0">
        <references count="1">
          <reference field="4294967294" count="1" selected="0">
            <x v="0"/>
          </reference>
        </references>
      </pivotArea>
    </format>
    <format dxfId="147">
      <pivotArea field="10" dataOnly="0" labelOnly="1" grandRow="1" outline="0">
        <references count="1">
          <reference field="4294967294" count="1" selected="0">
            <x v="0"/>
          </reference>
        </references>
      </pivotArea>
    </format>
    <format dxfId="146">
      <pivotArea outline="0" fieldPosition="0">
        <references count="1">
          <reference field="4294967294" count="1">
            <x v="1"/>
          </reference>
        </references>
      </pivotArea>
    </format>
    <format dxfId="145">
      <pivotArea grandRow="1" grandCol="1"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44">
      <pivotArea grandRow="1" grandCol="1"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43">
      <pivotArea collapsedLevelsAreSubtotals="1" fieldPosition="0">
        <references count="3">
          <reference field="4294967294" count="1" selected="0">
            <x v="1"/>
          </reference>
          <reference field="21" count="0"/>
          <reference field="22" count="0" selected="0"/>
        </references>
      </pivotArea>
    </format>
    <format dxfId="142">
      <pivotArea collapsedLevelsAreSubtotals="1" fieldPosition="0">
        <references count="3">
          <reference field="4294967294" count="1" selected="0">
            <x v="1"/>
          </reference>
          <reference field="21" count="0"/>
          <reference field="22" count="0" selected="0"/>
        </references>
      </pivotArea>
    </format>
    <format dxfId="141">
      <pivotArea field="22" grandRow="1" outline="0" collapsedLevelsAreSubtotals="1" axis="axisCol" fieldPosition="1">
        <references count="2">
          <reference field="4294967294" count="1" selected="0">
            <x v="1"/>
          </reference>
          <reference field="22" count="0" selected="0"/>
        </references>
      </pivotArea>
    </format>
    <format dxfId="140">
      <pivotArea field="22" grandRow="1" outline="0" collapsedLevelsAreSubtotals="1" axis="axisCol" fieldPosition="1">
        <references count="2">
          <reference field="4294967294" count="1" selected="0">
            <x v="1"/>
          </reference>
          <reference field="22" count="0" selected="0"/>
        </references>
      </pivotArea>
    </format>
    <format dxfId="139">
      <pivotArea field="21" grandCol="1" collapsedLevelsAreSubtotals="1" axis="axisRow" fieldPosition="0">
        <references count="2">
          <reference field="4294967294" count="1" selected="0">
            <x v="1"/>
          </reference>
          <reference field="21" count="0"/>
        </references>
      </pivotArea>
    </format>
    <format dxfId="138">
      <pivotArea field="21" grandCol="1" collapsedLevelsAreSubtotals="1" axis="axisRow" fieldPosition="0">
        <references count="2">
          <reference field="4294967294" count="1" selected="0">
            <x v="1"/>
          </reference>
          <reference field="21" count="0"/>
        </references>
      </pivotArea>
    </format>
    <format dxfId="137">
      <pivotArea collapsedLevelsAreSubtotals="1" fieldPosition="0">
        <references count="4">
          <reference field="4294967294" count="1" selected="0">
            <x v="0"/>
          </reference>
          <reference field="9" count="1" selected="0">
            <x v="0"/>
          </reference>
          <reference field="21" count="1">
            <x v="14"/>
          </reference>
          <reference field="22" count="1" selected="0">
            <x v="1"/>
          </reference>
        </references>
      </pivotArea>
    </format>
    <format dxfId="136">
      <pivotArea collapsedLevelsAreSubtotals="1" fieldPosition="0">
        <references count="4">
          <reference field="4294967294" count="1" selected="0">
            <x v="0"/>
          </reference>
          <reference field="9" count="1" selected="0">
            <x v="0"/>
          </reference>
          <reference field="21" count="1">
            <x v="11"/>
          </reference>
          <reference field="22" count="1" selected="0">
            <x v="4"/>
          </reference>
        </references>
      </pivotArea>
    </format>
    <format dxfId="135">
      <pivotArea collapsedLevelsAreSubtotals="1" fieldPosition="0">
        <references count="4">
          <reference field="4294967294" count="1" selected="0">
            <x v="0"/>
          </reference>
          <reference field="9" count="1" selected="0">
            <x v="0"/>
          </reference>
          <reference field="21" count="1">
            <x v="11"/>
          </reference>
          <reference field="22" count="1" selected="0">
            <x v="4"/>
          </reference>
        </references>
      </pivotArea>
    </format>
    <format dxfId="134">
      <pivotArea collapsedLevelsAreSubtotals="1" fieldPosition="0">
        <references count="4">
          <reference field="4294967294" count="1" selected="0">
            <x v="0"/>
          </reference>
          <reference field="9" count="1" selected="0">
            <x v="0"/>
          </reference>
          <reference field="21" count="1">
            <x v="11"/>
          </reference>
          <reference field="22" count="1" selected="0">
            <x v="4"/>
          </reference>
        </references>
      </pivotArea>
    </format>
  </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6000000}" name="PivotTable7" cacheId="14" applyNumberFormats="0" applyBorderFormats="0" applyFontFormats="0" applyPatternFormats="0" applyAlignmentFormats="0" applyWidthHeightFormats="1" dataCaption="Values" updatedVersion="6" minRefreshableVersion="3" itemPrintTitles="1" createdVersion="6" indent="0" outline="1" outlineData="1" multipleFieldFilters="0" chartFormat="10">
  <location ref="A25:E36" firstHeaderRow="0" firstDataRow="1" firstDataCol="1" rowPageCount="2" colPageCount="1"/>
  <pivotFields count="24">
    <pivotField showAll="0"/>
    <pivotField axis="axisPage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m="1" x="2"/>
        <item t="default"/>
      </items>
    </pivotField>
    <pivotField axis="axisRow" subtotalTop="0" showAll="0">
      <items count="5">
        <item x="1"/>
        <item x="2"/>
        <item x="0"/>
        <item m="1" x="3"/>
        <item t="default"/>
      </items>
    </pivotField>
    <pivotField axis="axisRow" showAll="0">
      <items count="6">
        <item x="3"/>
        <item x="2"/>
        <item x="1"/>
        <item x="0"/>
        <item m="1" x="4"/>
        <item t="default"/>
      </items>
    </pivotField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2">
    <field x="10"/>
    <field x="11"/>
  </rowFields>
  <rowItems count="11">
    <i>
      <x/>
    </i>
    <i r="1">
      <x/>
    </i>
    <i r="1">
      <x v="1"/>
    </i>
    <i r="1">
      <x v="2"/>
    </i>
    <i t="default">
      <x/>
    </i>
    <i>
      <x v="2"/>
    </i>
    <i r="1">
      <x/>
    </i>
    <i r="1">
      <x v="1"/>
    </i>
    <i r="1">
      <x v="2"/>
    </i>
    <i t="default"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1" hier="-1"/>
    <pageField fld="9" item="1" hier="-1"/>
  </pageFields>
  <dataFields count="4">
    <dataField name="Rush Attempts" fld="12" baseField="6" baseItem="0"/>
    <dataField name="Sum of Attempts" fld="12" showDataAs="percentOfTotal" baseField="10" baseItem="2" numFmtId="10"/>
    <dataField name="Sum of Yards" fld="15" baseField="0" baseItem="0"/>
    <dataField name="Sum of Yards2" fld="15" showDataAs="percentOfTotal" baseField="11" baseItem="1" numFmtId="10"/>
  </dataFields>
  <chartFormats count="1"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8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1" cacheId="14" applyNumberFormats="0" applyBorderFormats="0" applyFontFormats="0" applyPatternFormats="0" applyAlignmentFormats="0" applyWidthHeightFormats="1" dataCaption="Values" updatedVersion="6" minRefreshableVersion="3" itemPrintTitles="1" createdVersion="6" indent="0" outline="1" outlineData="1" multipleFieldFilters="0">
  <location ref="A111:G116" firstHeaderRow="1" firstDataRow="3" firstDataCol="1" rowPageCount="1" colPageCount="1"/>
  <pivotFields count="24">
    <pivotField subtotalTop="0" showAll="0"/>
    <pivotField axis="axisPage" showAll="0">
      <items count="6">
        <item x="0"/>
        <item x="1"/>
        <item x="2"/>
        <item x="3"/>
        <item x="4"/>
        <item t="default"/>
      </items>
    </pivotField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axis="axisCol" subtotalTop="0" showAll="0">
      <items count="4">
        <item x="1"/>
        <item x="0"/>
        <item m="1" x="2"/>
        <item t="default"/>
      </items>
    </pivotField>
    <pivotField subtotalTop="0" showAll="0"/>
    <pivotField subtotalTop="0" showAll="0"/>
    <pivotField dataField="1" subtotalTop="0" showAll="0"/>
    <pivotField subtotalTop="0" showAll="0"/>
    <pivotField showAll="0"/>
    <pivotField subtotalTop="0" showAll="0"/>
    <pivotField showAll="0"/>
    <pivotField showAll="0"/>
    <pivotField showAll="0"/>
    <pivotField showAll="0"/>
    <pivotField axis="axisRow" showAll="0">
      <items count="5">
        <item h="1" x="0"/>
        <item x="2"/>
        <item x="1"/>
        <item h="1" m="1" x="3"/>
        <item t="default"/>
      </items>
    </pivotField>
    <pivotField showAll="0"/>
    <pivotField showAll="0"/>
    <pivotField dragToRow="0" dragToCol="0" dragToPage="0" showAll="0" defaultSubtotal="0"/>
  </pivotFields>
  <rowFields count="1">
    <field x="20"/>
  </rowFields>
  <rowItems count="3">
    <i>
      <x v="1"/>
    </i>
    <i>
      <x v="2"/>
    </i>
    <i t="grand">
      <x/>
    </i>
  </rowItems>
  <colFields count="2">
    <field x="9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pageFields count="1">
    <pageField fld="1" hier="-1"/>
  </pageFields>
  <dataFields count="2">
    <dataField name="Count of Attempts" fld="12" subtotal="count" baseField="0" baseItem="0"/>
    <dataField name="% Attempts" fld="12" subtotal="count" showDataAs="percentOfCol" baseField="5" baseItem="0" numFmtId="10"/>
  </dataFields>
  <formats count="9">
    <format dxfId="157">
      <pivotArea field="10" dataOnly="0" labelOnly="1" grandRow="1" outline="0">
        <references count="1">
          <reference field="4294967294" count="1" selected="0">
            <x v="0"/>
          </reference>
        </references>
      </pivotArea>
    </format>
    <format dxfId="156">
      <pivotArea field="10" dataOnly="0" labelOnly="1" grandRow="1" outline="0">
        <references count="1">
          <reference field="4294967294" count="1" selected="0">
            <x v="0"/>
          </reference>
        </references>
      </pivotArea>
    </format>
    <format dxfId="155">
      <pivotArea outline="0" fieldPosition="0">
        <references count="1">
          <reference field="4294967294" count="1">
            <x v="1"/>
          </reference>
        </references>
      </pivotArea>
    </format>
    <format dxfId="154">
      <pivotArea field="9" grandRow="1" outline="0" collapsedLevelsAreSubtotals="1" axis="axisCol" fieldPosition="0">
        <references count="2">
          <reference field="4294967294" count="1" selected="0">
            <x v="1"/>
          </reference>
          <reference field="9" count="1" selected="0">
            <x v="0"/>
          </reference>
        </references>
      </pivotArea>
    </format>
    <format dxfId="153">
      <pivotArea field="9" grandRow="1" outline="0" collapsedLevelsAreSubtotals="1" axis="axisCol" fieldPosition="0">
        <references count="2">
          <reference field="4294967294" count="1" selected="0">
            <x v="1"/>
          </reference>
          <reference field="9" count="1" selected="0">
            <x v="0"/>
          </reference>
        </references>
      </pivotArea>
    </format>
    <format dxfId="152">
      <pivotArea field="9" grandRow="1" outline="0" collapsedLevelsAreSubtotals="1" axis="axisCol" fieldPosition="0">
        <references count="2">
          <reference field="4294967294" count="1" selected="0">
            <x v="1"/>
          </reference>
          <reference field="9" count="1" selected="0">
            <x v="1"/>
          </reference>
        </references>
      </pivotArea>
    </format>
    <format dxfId="151">
      <pivotArea field="9" grandRow="1" outline="0" collapsedLevelsAreSubtotals="1" axis="axisCol" fieldPosition="0">
        <references count="2">
          <reference field="4294967294" count="1" selected="0">
            <x v="1"/>
          </reference>
          <reference field="9" count="1" selected="0">
            <x v="1"/>
          </reference>
        </references>
      </pivotArea>
    </format>
    <format dxfId="150">
      <pivotArea grandRow="1" grandCol="1"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49">
      <pivotArea grandRow="1" grandCol="1"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3000000}" name="PivotTable4" cacheId="14" applyNumberFormats="0" applyBorderFormats="0" applyFontFormats="0" applyPatternFormats="0" applyAlignmentFormats="0" applyWidthHeightFormats="1" dataCaption="Values" updatedVersion="6" minRefreshableVersion="3" itemPrintTitles="1" createdVersion="6" indent="0" outline="1" outlineData="1" multipleFieldFilters="0">
  <location ref="A83:E84" firstHeaderRow="0" firstDataRow="1" firstDataCol="1" rowPageCount="1" colPageCount="1"/>
  <pivotFields count="24">
    <pivotField subtotalTop="0" showAll="0"/>
    <pivotField axis="axisPage" showAll="0">
      <items count="6">
        <item x="0"/>
        <item x="1"/>
        <item x="2"/>
        <item x="3"/>
        <item x="4"/>
        <item t="default"/>
      </items>
    </pivotField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dataField="1" subtotalTop="0" showAll="0"/>
    <pivotField subtotalTop="0" showAll="0"/>
    <pivotField showAll="0"/>
    <pivotField dataField="1" subtotalTop="0" showAll="0"/>
    <pivotField showAll="0"/>
    <pivotField showAll="0"/>
    <pivotField showAll="0"/>
    <pivotField axis="axisRow" showAll="0">
      <items count="6">
        <item h="1" x="0"/>
        <item m="1" x="2"/>
        <item m="1" x="4"/>
        <item m="1" x="3"/>
        <item h="1" x="1"/>
        <item t="default"/>
      </items>
    </pivotField>
    <pivotField showAll="0"/>
    <pivotField showAll="0"/>
    <pivotField showAll="0"/>
    <pivotField dataField="1" dragToRow="0" dragToCol="0" dragToPage="0" showAll="0" defaultSubtotal="0"/>
  </pivotFields>
  <rowFields count="1">
    <field x="19"/>
  </rowFields>
  <rowItems count="1"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" hier="-1"/>
  </pageFields>
  <dataFields count="4">
    <dataField name="Sum of Attempts" fld="12" showDataAs="percentOfCol" baseField="19" baseItem="2" numFmtId="10"/>
    <dataField name="Sum of Attempts2" fld="12" baseField="19" baseItem="2"/>
    <dataField name="Sum of Yards" fld="15" baseField="9" baseItem="0"/>
    <dataField name="Sum of Yrd per Att/" fld="23" baseField="0" baseItem="0"/>
  </dataFields>
  <formats count="5">
    <format dxfId="162">
      <pivotArea field="10" dataOnly="0" labelOnly="1" outline="0">
        <references count="1">
          <reference field="4294967294" count="1" selected="0">
            <x v="1"/>
          </reference>
        </references>
      </pivotArea>
    </format>
    <format dxfId="161">
      <pivotArea field="10" dataOnly="0" labelOnly="1" outline="0">
        <references count="1">
          <reference field="4294967294" count="1" selected="0">
            <x v="2"/>
          </reference>
        </references>
      </pivotArea>
    </format>
    <format dxfId="160">
      <pivotArea field="10" dataOnly="0" labelOnly="1" outline="0">
        <references count="1">
          <reference field="4294967294" count="1" selected="0">
            <x v="1"/>
          </reference>
        </references>
      </pivotArea>
    </format>
    <format dxfId="159">
      <pivotArea field="10" dataOnly="0" labelOnly="1" outline="0">
        <references count="1">
          <reference field="4294967294" count="1" selected="0">
            <x v="2"/>
          </reference>
        </references>
      </pivotArea>
    </format>
    <format dxfId="158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4000000}" name="PivotTable5" cacheId="14" applyNumberFormats="0" applyBorderFormats="0" applyFontFormats="0" applyPatternFormats="0" applyAlignmentFormats="0" applyWidthHeightFormats="1" dataCaption="Values" updatedVersion="6" minRefreshableVersion="3" itemPrintTitles="1" createdVersion="6" indent="0" outline="1" outlineData="1" multipleFieldFilters="0">
  <location ref="A148:G161" firstHeaderRow="1" firstDataRow="3" firstDataCol="1" rowPageCount="1" colPageCount="1"/>
  <pivotFields count="24">
    <pivotField showAll="0"/>
    <pivotField axis="axisPage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0"/>
        <item m="1" x="2"/>
        <item t="default"/>
      </items>
    </pivotField>
    <pivotField showAll="0"/>
    <pivotField showAll="0"/>
    <pivotField dataField="1" showAll="0"/>
    <pivotField showAll="0"/>
    <pivotField subtotalTop="0" showAll="0"/>
    <pivotField showAll="0"/>
    <pivotField subtotalTop="0" showAll="0"/>
    <pivotField subtotalTop="0" showAll="0"/>
    <pivotField subtotalTop="0" showAll="0"/>
    <pivotField subtotalTop="0" showAll="0"/>
    <pivotField subtotalTop="0" showAll="0"/>
    <pivotField axis="axisRow" showAll="0" sortType="ascending">
      <items count="23">
        <item h="1" x="0"/>
        <item x="1"/>
        <item x="8"/>
        <item x="2"/>
        <item x="4"/>
        <item x="7"/>
        <item x="3"/>
        <item x="6"/>
        <item x="5"/>
        <item x="9"/>
        <item m="1" x="11"/>
        <item m="1" x="19"/>
        <item m="1" x="17"/>
        <item m="1" x="12"/>
        <item m="1" x="20"/>
        <item m="1" x="21"/>
        <item m="1" x="16"/>
        <item m="1" x="13"/>
        <item m="1" x="14"/>
        <item m="1" x="15"/>
        <item m="1" x="18"/>
        <item x="10"/>
        <item t="default"/>
      </items>
    </pivotField>
    <pivotField showAll="0"/>
    <pivotField subtotalTop="0" dragToRow="0" dragToCol="0" dragToPage="0" showAll="0" defaultSubtotal="0"/>
  </pivotFields>
  <rowFields count="1">
    <field x="21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21"/>
    </i>
    <i t="grand">
      <x/>
    </i>
  </rowItems>
  <colFields count="2">
    <field x="-2"/>
    <field x="9"/>
  </colFields>
  <colItems count="6">
    <i>
      <x/>
      <x/>
    </i>
    <i r="1">
      <x v="1"/>
    </i>
    <i i="1">
      <x v="1"/>
      <x/>
    </i>
    <i r="1" i="1">
      <x v="1"/>
    </i>
    <i t="grand">
      <x/>
    </i>
    <i t="grand" i="1">
      <x/>
    </i>
  </colItems>
  <pageFields count="1">
    <pageField fld="1" hier="-1"/>
  </pageFields>
  <dataFields count="2">
    <dataField name="Count of Attempts" fld="12" subtotal="count" baseField="0" baseItem="0"/>
    <dataField name="% Attempts" fld="12" subtotal="count" baseField="5" baseItem="0" numFmtId="10">
      <extLst>
        <ext xmlns:x14="http://schemas.microsoft.com/office/spreadsheetml/2009/9/main" uri="{E15A36E0-9728-4e99-A89B-3F7291B0FE68}">
          <x14:dataField pivotShowAs="percentOfParentCol"/>
        </ext>
      </extLst>
    </dataField>
  </dataFields>
  <formats count="7">
    <format dxfId="169">
      <pivotArea field="10" dataOnly="0" labelOnly="1" grandRow="1" outline="0">
        <references count="1">
          <reference field="4294967294" count="1" selected="0">
            <x v="0"/>
          </reference>
        </references>
      </pivotArea>
    </format>
    <format dxfId="168">
      <pivotArea field="10" dataOnly="0" labelOnly="1" grandRow="1" outline="0">
        <references count="1">
          <reference field="4294967294" count="1" selected="0">
            <x v="0"/>
          </reference>
        </references>
      </pivotArea>
    </format>
    <format dxfId="167">
      <pivotArea outline="0" fieldPosition="0">
        <references count="1">
          <reference field="4294967294" count="1">
            <x v="1"/>
          </reference>
        </references>
      </pivotArea>
    </format>
    <format dxfId="166">
      <pivotArea grandRow="1" grandCol="1"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65">
      <pivotArea grandRow="1" grandCol="1"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64">
      <pivotArea field="21" grandCol="1" collapsedLevelsAreSubtotals="1" axis="axisRow" fieldPosition="0">
        <references count="2">
          <reference field="4294967294" count="1" selected="0">
            <x v="1"/>
          </reference>
          <reference field="21" count="0"/>
        </references>
      </pivotArea>
    </format>
    <format dxfId="163">
      <pivotArea field="21" grandCol="1" collapsedLevelsAreSubtotals="1" axis="axisRow" fieldPosition="0">
        <references count="2">
          <reference field="4294967294" count="1" selected="0">
            <x v="1"/>
          </reference>
          <reference field="21" count="0"/>
        </references>
      </pivotArea>
    </format>
  </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0000000}" name="Table11" displayName="Table11" ref="A1:W392" totalsRowShown="0" headerRowDxfId="194" dataDxfId="193">
  <autoFilter ref="A1:W392" xr:uid="{00000000-0009-0000-0100-00000B000000}"/>
  <tableColumns count="23">
    <tableColumn id="1" xr3:uid="{00000000-0010-0000-0000-000001000000}" name="Play" dataDxfId="192"/>
    <tableColumn id="16" xr3:uid="{00000000-0010-0000-0000-000010000000}" name="ODK" dataDxfId="191"/>
    <tableColumn id="2" xr3:uid="{00000000-0010-0000-0000-000002000000}" name="Down" dataDxfId="190"/>
    <tableColumn id="3" xr3:uid="{00000000-0010-0000-0000-000003000000}" name="Distance" dataDxfId="189"/>
    <tableColumn id="4" xr3:uid="{00000000-0010-0000-0000-000004000000}" name="Yard Line" dataDxfId="188"/>
    <tableColumn id="5" xr3:uid="{00000000-0010-0000-0000-000005000000}" name="Gain/Loss" dataDxfId="187">
      <calculatedColumnFormula>MOD(Table11[[#This Row],[Yard Line]],100)-MOD(E3,100)</calculatedColumnFormula>
    </tableColumn>
    <tableColumn id="6" xr3:uid="{00000000-0010-0000-0000-000006000000}" name="Hash" dataDxfId="186"/>
    <tableColumn id="7" xr3:uid="{00000000-0010-0000-0000-000007000000}" name="Strength" dataDxfId="185"/>
    <tableColumn id="8" xr3:uid="{00000000-0010-0000-0000-000008000000}" name="Motion" dataDxfId="184"/>
    <tableColumn id="9" xr3:uid="{00000000-0010-0000-0000-000009000000}" name="Play Type" dataDxfId="183"/>
    <tableColumn id="10" xr3:uid="{00000000-0010-0000-0000-00000A000000}" name="Direction" dataDxfId="182"/>
    <tableColumn id="11" xr3:uid="{00000000-0010-0000-0000-00000B000000}" name="Gap" dataDxfId="181"/>
    <tableColumn id="12" xr3:uid="{00000000-0010-0000-0000-00000C000000}" name="Attempts" dataDxfId="180"/>
    <tableColumn id="13" xr3:uid="{00000000-0010-0000-0000-00000D000000}" name="Complete" dataDxfId="179"/>
    <tableColumn id="14" xr3:uid="{00000000-0010-0000-0000-00000E000000}" name="Pass Zone" dataDxfId="178"/>
    <tableColumn id="15" xr3:uid="{00000000-0010-0000-0000-00000F000000}" name="Yards" dataDxfId="177"/>
    <tableColumn id="19" xr3:uid="{00000000-0010-0000-0000-000013000000}" name="Direction G" dataDxfId="176"/>
    <tableColumn id="23" xr3:uid="{00000000-0010-0000-0000-000017000000}" name="Direction1" dataDxfId="175"/>
    <tableColumn id="20" xr3:uid="{00000000-0010-0000-0000-000014000000}" name="Zone G" dataDxfId="174"/>
    <tableColumn id="22" xr3:uid="{00000000-0010-0000-0000-000016000000}" name="Strength1" dataDxfId="173"/>
    <tableColumn id="21" xr3:uid="{00000000-0010-0000-0000-000015000000}" name="Boundry" dataDxfId="172"/>
    <tableColumn id="18" xr3:uid="{00000000-0010-0000-0000-000012000000}" name="D&amp;D" dataDxfId="171"/>
    <tableColumn id="17" xr3:uid="{00000000-0010-0000-0000-000011000000}" name="Yard Line Zone" dataDxfId="17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D6" totalsRowShown="0" headerRowDxfId="99" dataDxfId="98">
  <autoFilter ref="A1:D6" xr:uid="{00000000-0009-0000-0100-000001000000}"/>
  <tableColumns count="4">
    <tableColumn id="3" xr3:uid="{00000000-0010-0000-0100-000003000000}" name="Down" dataDxfId="97"/>
    <tableColumn id="4" xr3:uid="{00000000-0010-0000-0100-000004000000}" name="Gap" dataDxfId="96"/>
    <tableColumn id="9" xr3:uid="{00000000-0010-0000-0100-000009000000}" name="Qtr" dataDxfId="95"/>
    <tableColumn id="19" xr3:uid="{00000000-0010-0000-0100-000013000000}" name="Result" dataDxfId="9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2" displayName="Table2" ref="A14:C17" totalsRowShown="0" headerRowDxfId="93" dataDxfId="92">
  <autoFilter ref="A14:C17" xr:uid="{00000000-0009-0000-0100-000002000000}"/>
  <tableColumns count="3">
    <tableColumn id="1" xr3:uid="{00000000-0010-0000-0200-000001000000}" name="Strength #" dataDxfId="91"/>
    <tableColumn id="2" xr3:uid="{00000000-0010-0000-0200-000002000000}" name="Strength Short" dataDxfId="90"/>
    <tableColumn id="3" xr3:uid="{00000000-0010-0000-0200-000003000000}" name="Strength Long" dataDxfId="8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able24" displayName="Table24" ref="A19:C22" totalsRowShown="0" headerRowDxfId="88" dataDxfId="87">
  <autoFilter ref="A19:C22" xr:uid="{00000000-0009-0000-0100-000003000000}"/>
  <tableColumns count="3">
    <tableColumn id="1" xr3:uid="{00000000-0010-0000-0300-000001000000}" name="Hash #" dataDxfId="86"/>
    <tableColumn id="2" xr3:uid="{00000000-0010-0000-0300-000002000000}" name="Hash Short" dataDxfId="85"/>
    <tableColumn id="3" xr3:uid="{00000000-0010-0000-0300-000003000000}" name="Hash Long" dataDxfId="8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Table4" displayName="Table4" ref="A24:C27" totalsRowShown="0" headerRowDxfId="83" headerRowBorderDxfId="82" tableBorderDxfId="81" totalsRowBorderDxfId="80">
  <autoFilter ref="A24:C27" xr:uid="{00000000-0009-0000-0100-000004000000}"/>
  <tableColumns count="3">
    <tableColumn id="1" xr3:uid="{00000000-0010-0000-0400-000001000000}" name="Motion #"/>
    <tableColumn id="2" xr3:uid="{00000000-0010-0000-0400-000002000000}" name="Motion Short"/>
    <tableColumn id="3" xr3:uid="{00000000-0010-0000-0400-000003000000}" name="Motion Long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Table246" displayName="Table246" ref="A29:C32" totalsRowShown="0" headerRowDxfId="79" dataDxfId="78">
  <autoFilter ref="A29:C32" xr:uid="{00000000-0009-0000-0100-000005000000}"/>
  <tableColumns count="3">
    <tableColumn id="1" xr3:uid="{00000000-0010-0000-0500-000001000000}" name="Pass Zone #" dataDxfId="77"/>
    <tableColumn id="2" xr3:uid="{00000000-0010-0000-0500-000002000000}" name="Pass Zone Short" dataDxfId="76"/>
    <tableColumn id="3" xr3:uid="{00000000-0010-0000-0500-000003000000}" name="Psss Zone Long" dataDxfId="7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Table247" displayName="Table247" ref="A34:C37" totalsRowShown="0" headerRowDxfId="74" dataDxfId="73">
  <autoFilter ref="A34:C37" xr:uid="{00000000-0009-0000-0100-000006000000}"/>
  <tableColumns count="3">
    <tableColumn id="1" xr3:uid="{00000000-0010-0000-0600-000001000000}" name="Direction #" dataDxfId="72"/>
    <tableColumn id="2" xr3:uid="{00000000-0010-0000-0600-000002000000}" name="Direction Short" dataDxfId="71"/>
    <tableColumn id="3" xr3:uid="{00000000-0010-0000-0600-000003000000}" name="Direction Long" dataDxfId="7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able7" displayName="Table7" ref="A39:C43" totalsRowShown="0">
  <autoFilter ref="A39:C43" xr:uid="{00000000-0009-0000-0100-000007000000}"/>
  <tableColumns count="3">
    <tableColumn id="1" xr3:uid="{00000000-0010-0000-0700-000001000000}" name="ODK #"/>
    <tableColumn id="2" xr3:uid="{00000000-0010-0000-0700-000002000000}" name="ODK Short" dataDxfId="69"/>
    <tableColumn id="3" xr3:uid="{00000000-0010-0000-0700-000003000000}" name="ODK Long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8000000}" name="Table8" displayName="Table8" ref="A9:C12" totalsRowShown="0">
  <autoFilter ref="A9:C12" xr:uid="{00000000-0009-0000-0100-000008000000}"/>
  <tableColumns count="3">
    <tableColumn id="1" xr3:uid="{00000000-0010-0000-0800-000001000000}" name="Play Type #" dataDxfId="68"/>
    <tableColumn id="2" xr3:uid="{00000000-0010-0000-0800-000002000000}" name="Play Type Short" dataDxfId="67"/>
    <tableColumn id="3" xr3:uid="{00000000-0010-0000-0800-000003000000}" name="Play Type Long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9000000}" name="Table9" displayName="Table9" ref="A48:A58" totalsRowShown="0" headerRowDxfId="66" dataDxfId="64" headerRowBorderDxfId="65" tableBorderDxfId="63" totalsRowBorderDxfId="62">
  <autoFilter ref="A48:A58" xr:uid="{00000000-0009-0000-0100-000009000000}"/>
  <tableColumns count="1">
    <tableColumn id="1" xr3:uid="{00000000-0010-0000-0900-000001000000}" name="D&amp;D Category" dataDxfId="61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e10" displayName="Table10" ref="C48:C52" totalsRowShown="0" headerRowDxfId="60" headerRowBorderDxfId="59" tableBorderDxfId="58" totalsRowBorderDxfId="57">
  <autoFilter ref="C48:C52" xr:uid="{00000000-0009-0000-0100-00000A000000}"/>
  <tableColumns count="1">
    <tableColumn id="1" xr3:uid="{00000000-0010-0000-0A00-000001000000}" name="Yardline Z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rinterSettings" Target="../printerSettings/printerSettings5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R37"/>
  <sheetViews>
    <sheetView zoomScale="90" zoomScaleNormal="90" workbookViewId="0">
      <selection activeCell="E37" sqref="E37"/>
    </sheetView>
  </sheetViews>
  <sheetFormatPr defaultRowHeight="15" x14ac:dyDescent="0.25"/>
  <sheetData>
    <row r="1" spans="1:18" s="101" customFormat="1" ht="31.5" x14ac:dyDescent="0.5">
      <c r="A1" s="141" t="s">
        <v>0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</row>
    <row r="2" spans="1:18" s="101" customFormat="1" ht="31.5" x14ac:dyDescent="0.5">
      <c r="B2" s="143" t="s">
        <v>1</v>
      </c>
      <c r="C2" s="143"/>
      <c r="D2" s="143"/>
      <c r="E2" s="143"/>
      <c r="F2" s="143"/>
      <c r="H2" s="143" t="s">
        <v>2</v>
      </c>
      <c r="I2" s="143"/>
      <c r="J2" s="143"/>
      <c r="K2" s="143"/>
      <c r="N2" s="143" t="s">
        <v>3</v>
      </c>
      <c r="O2" s="143"/>
      <c r="P2" s="143"/>
      <c r="Q2" s="143"/>
    </row>
    <row r="3" spans="1:18" ht="28.5" x14ac:dyDescent="0.45">
      <c r="B3" s="144" t="str">
        <f>IFERROR(TEXT(GETPIVOTDATA("Attempted",Refresh!$A$9,"Direction","L")/GETPIVOTDATA("Attempted",Refresh!$A$9),"##0%"),"0")</f>
        <v>29%</v>
      </c>
      <c r="C3" s="144"/>
      <c r="D3" s="144"/>
      <c r="E3" s="144"/>
      <c r="F3" s="144"/>
      <c r="G3" s="100"/>
      <c r="H3" s="145" t="str">
        <f>IFERROR(TEXT(GETPIVOTDATA("Attempted",Refresh!$A$9,"Direction","M")/GETPIVOTDATA("Attempted",Refresh!$A$9),"##0%"),"0")</f>
        <v>41%</v>
      </c>
      <c r="I3" s="145"/>
      <c r="J3" s="145"/>
      <c r="K3" s="145"/>
      <c r="L3" s="99"/>
      <c r="M3" s="99"/>
      <c r="N3" s="145" t="str">
        <f>IFERROR(TEXT(GETPIVOTDATA("Attempted",Refresh!$A$9,"Direction","R")/GETPIVOTDATA("Attempted",Refresh!$A$9),"##0%"),"0")</f>
        <v>31%</v>
      </c>
      <c r="O3" s="145"/>
      <c r="P3" s="145"/>
      <c r="Q3" s="145"/>
    </row>
    <row r="4" spans="1:18" ht="20.65" customHeight="1" x14ac:dyDescent="0.3">
      <c r="B4" s="142" t="str">
        <f>TEXT(IFERROR(GETPIVOTDATA("Yard",Refresh!$A$9,"Direction","L"),0),"#,##0")&amp;" yards"&amp;" ("&amp;TEXT(IFERROR(GETPIVOTDATA("Yard",Refresh!$A$9,"Direction","L")/GETPIVOTDATA("Yard",Refresh!$A$9),0),"##0%")&amp;")"</f>
        <v>134 yards (56%)</v>
      </c>
      <c r="C4" s="142"/>
      <c r="D4" s="142"/>
      <c r="E4" s="142"/>
      <c r="F4" s="142"/>
      <c r="G4" s="123"/>
      <c r="H4" s="142" t="str">
        <f>TEXT(IFERROR(GETPIVOTDATA("Yard",Refresh!$A$9,"Direction","M"),0),"#,##0")&amp;" yards"&amp;" ("&amp;TEXT(IFERROR(GETPIVOTDATA("Yard",Refresh!$A$9,"Direction","m")/GETPIVOTDATA("Yard",Refresh!$A$9),0),"##0%")&amp;")"</f>
        <v>-114 yards (-48%)</v>
      </c>
      <c r="I4" s="142"/>
      <c r="J4" s="142"/>
      <c r="K4" s="142"/>
      <c r="L4" s="123"/>
      <c r="M4" s="123"/>
      <c r="N4" s="142" t="str">
        <f>TEXT(IFERROR(GETPIVOTDATA("Yard",Refresh!$A$9,"Direction","R"),0),"#,##0")&amp;" yards"&amp;" ("&amp;TEXT(IFERROR(GETPIVOTDATA("Yard",Refresh!$A$9,"Direction","R")/GETPIVOTDATA("Yard",Refresh!$A$9),0),"##0%")&amp;")"</f>
        <v>218 yards (92%)</v>
      </c>
      <c r="O4" s="142"/>
      <c r="P4" s="142"/>
      <c r="Q4" s="142"/>
    </row>
    <row r="5" spans="1:18" ht="28.5" x14ac:dyDescent="0.45">
      <c r="I5" s="1"/>
    </row>
    <row r="8" spans="1:18" x14ac:dyDescent="0.25">
      <c r="C8" s="3"/>
      <c r="D8" s="3"/>
      <c r="E8" s="3"/>
    </row>
    <row r="9" spans="1:18" x14ac:dyDescent="0.25">
      <c r="C9" s="4"/>
      <c r="D9" s="4"/>
    </row>
    <row r="10" spans="1:18" x14ac:dyDescent="0.25">
      <c r="C10" s="4"/>
      <c r="D10" s="4"/>
    </row>
    <row r="11" spans="1:18" x14ac:dyDescent="0.25">
      <c r="C11" s="4"/>
      <c r="D11" s="4"/>
    </row>
    <row r="12" spans="1:18" x14ac:dyDescent="0.25">
      <c r="C12" s="4"/>
      <c r="D12" s="4"/>
    </row>
    <row r="13" spans="1:18" x14ac:dyDescent="0.25">
      <c r="C13" s="4"/>
      <c r="D13" s="4"/>
    </row>
    <row r="14" spans="1:18" x14ac:dyDescent="0.25">
      <c r="C14" s="4"/>
      <c r="D14" s="4"/>
    </row>
    <row r="15" spans="1:18" x14ac:dyDescent="0.25">
      <c r="C15" s="4"/>
      <c r="D15" s="4"/>
    </row>
    <row r="17" spans="1:8" x14ac:dyDescent="0.25">
      <c r="C17" s="3"/>
      <c r="D17" s="3"/>
      <c r="E17" s="3"/>
    </row>
    <row r="18" spans="1:8" x14ac:dyDescent="0.25">
      <c r="A18" s="2"/>
    </row>
    <row r="19" spans="1:8" x14ac:dyDescent="0.25">
      <c r="A19" s="2"/>
    </row>
    <row r="27" spans="1:8" x14ac:dyDescent="0.25">
      <c r="H27" s="6"/>
    </row>
    <row r="28" spans="1:8" x14ac:dyDescent="0.25">
      <c r="H28" s="8"/>
    </row>
    <row r="29" spans="1:8" x14ac:dyDescent="0.25">
      <c r="H29" s="9"/>
    </row>
    <row r="30" spans="1:8" x14ac:dyDescent="0.25">
      <c r="H30" s="6"/>
    </row>
    <row r="32" spans="1:8" x14ac:dyDescent="0.25">
      <c r="H32" s="7"/>
    </row>
    <row r="33" spans="8:8" x14ac:dyDescent="0.25">
      <c r="H33" s="6"/>
    </row>
    <row r="35" spans="8:8" x14ac:dyDescent="0.25">
      <c r="H35" s="7"/>
    </row>
    <row r="36" spans="8:8" x14ac:dyDescent="0.25">
      <c r="H36" s="13"/>
    </row>
    <row r="37" spans="8:8" x14ac:dyDescent="0.25">
      <c r="H37" s="6"/>
    </row>
  </sheetData>
  <mergeCells count="10">
    <mergeCell ref="A1:R1"/>
    <mergeCell ref="B4:F4"/>
    <mergeCell ref="N4:Q4"/>
    <mergeCell ref="H4:K4"/>
    <mergeCell ref="N2:Q2"/>
    <mergeCell ref="H2:K2"/>
    <mergeCell ref="B2:F2"/>
    <mergeCell ref="B3:F3"/>
    <mergeCell ref="N3:Q3"/>
    <mergeCell ref="H3:K3"/>
  </mergeCells>
  <printOptions horizontalCentered="1" verticalCentered="1"/>
  <pageMargins left="0.25" right="0.25" top="0.75" bottom="0.75" header="0" footer="0.3"/>
  <pageSetup scale="73" orientation="landscape" r:id="rId1"/>
  <headerFooter>
    <oddHeader>&amp;L&amp;"-,Bold"&amp;22 &amp;K05+0002017 RHS Football
&amp;"-,Bold Italic"&amp;16Ridgefield vs Danbury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R4"/>
  <sheetViews>
    <sheetView topLeftCell="B1" zoomScale="80" zoomScaleNormal="80" workbookViewId="0">
      <selection activeCell="J3" sqref="J3"/>
    </sheetView>
  </sheetViews>
  <sheetFormatPr defaultRowHeight="15" x14ac:dyDescent="0.25"/>
  <sheetData>
    <row r="1" spans="1:18" s="101" customFormat="1" ht="31.5" x14ac:dyDescent="0.5">
      <c r="A1" s="141" t="s">
        <v>4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</row>
    <row r="2" spans="1:18" s="101" customFormat="1" ht="31.5" x14ac:dyDescent="0.5">
      <c r="C2" s="143" t="s">
        <v>1</v>
      </c>
      <c r="D2" s="143"/>
      <c r="E2" s="143"/>
      <c r="F2" s="143"/>
      <c r="G2" s="143"/>
      <c r="H2" s="143"/>
      <c r="I2" s="143"/>
      <c r="K2" s="143" t="s">
        <v>3</v>
      </c>
      <c r="L2" s="143"/>
      <c r="M2" s="143"/>
      <c r="N2" s="143"/>
      <c r="O2" s="143"/>
      <c r="P2" s="143"/>
      <c r="Q2" s="143"/>
    </row>
    <row r="3" spans="1:18" ht="28.5" x14ac:dyDescent="0.45">
      <c r="C3" s="144" t="str">
        <f>TEXT(IFERROR(GETPIVOTDATA("Sum of Attempts",Refresh!$A$25,"Direction","L"),0),"##0%")</f>
        <v>39%</v>
      </c>
      <c r="D3" s="144"/>
      <c r="E3" s="144"/>
      <c r="F3" s="144"/>
      <c r="G3" s="144"/>
      <c r="H3" s="144"/>
      <c r="I3" s="144"/>
      <c r="K3" s="145" t="str">
        <f>TEXT(IFERROR(GETPIVOTDATA("Sum of Attempts",Refresh!$A$25,"Direction","R"),0),"##0%")</f>
        <v>61%</v>
      </c>
      <c r="L3" s="145"/>
      <c r="M3" s="145"/>
      <c r="N3" s="145"/>
      <c r="O3" s="145"/>
      <c r="P3" s="145"/>
      <c r="Q3" s="145"/>
    </row>
    <row r="4" spans="1:18" ht="20.65" customHeight="1" x14ac:dyDescent="0.3">
      <c r="C4" s="142" t="str">
        <f>TEXT(IFERROR(GETPIVOTDATA("Sum of Yards",Refresh!$A$25,"Direction","L"),0),"#,##0")&amp;" yards"&amp;" ("&amp;TEXT(IFERROR(GETPIVOTDATA("Sum of Yards2",Refresh!$A$25,"Direction","L"),0),"##0%")&amp;")"</f>
        <v>557 yards (37%)</v>
      </c>
      <c r="D4" s="142"/>
      <c r="E4" s="142"/>
      <c r="F4" s="142"/>
      <c r="G4" s="142"/>
      <c r="H4" s="142"/>
      <c r="I4" s="142"/>
      <c r="K4" s="142" t="str">
        <f>TEXT(IFERROR(GETPIVOTDATA("Sum of Yards",Refresh!$A$25,"Direction","r"),0),"#,##0")&amp;" yards"&amp;" ("&amp;TEXT(IFERROR(GETPIVOTDATA("Sum of Yards2",Refresh!$A$25,"Direction","r"),0),"##0%")&amp;")"</f>
        <v>942 yards (63%)</v>
      </c>
      <c r="L4" s="142"/>
      <c r="M4" s="142"/>
      <c r="N4" s="142"/>
      <c r="O4" s="142"/>
      <c r="P4" s="142"/>
      <c r="Q4" s="142"/>
    </row>
  </sheetData>
  <mergeCells count="7">
    <mergeCell ref="K4:Q4"/>
    <mergeCell ref="C2:I2"/>
    <mergeCell ref="C3:I3"/>
    <mergeCell ref="C4:I4"/>
    <mergeCell ref="A1:R1"/>
    <mergeCell ref="K2:Q2"/>
    <mergeCell ref="K3:Q3"/>
  </mergeCells>
  <printOptions horizontalCentered="1" verticalCentered="1"/>
  <pageMargins left="0.25" right="0.25" top="0.75" bottom="0.75" header="0" footer="0.3"/>
  <pageSetup scale="77" orientation="landscape" r:id="rId1"/>
  <headerFooter>
    <oddHeader xml:space="preserve">&amp;L&amp;"-,Bold"&amp;22 &amp;K05+0002017 RHS Football
&amp;"-,Bold Italic"&amp;16Ridgefield vs Danbury
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pageSetUpPr fitToPage="1"/>
  </sheetPr>
  <dimension ref="A1:S54"/>
  <sheetViews>
    <sheetView zoomScaleNormal="100" workbookViewId="0">
      <selection activeCell="I11" sqref="I11"/>
    </sheetView>
  </sheetViews>
  <sheetFormatPr defaultRowHeight="15" x14ac:dyDescent="0.25"/>
  <cols>
    <col min="1" max="1" width="16.28515625" customWidth="1"/>
    <col min="2" max="2" width="12.140625" customWidth="1"/>
    <col min="3" max="6" width="10.5703125" customWidth="1"/>
    <col min="7" max="7" width="11.140625" bestFit="1" customWidth="1"/>
    <col min="8" max="9" width="10.5703125" customWidth="1"/>
    <col min="10" max="10" width="16.42578125" customWidth="1"/>
    <col min="11" max="11" width="10.5703125" customWidth="1"/>
    <col min="13" max="13" width="6" customWidth="1"/>
    <col min="14" max="14" width="16.140625" customWidth="1"/>
    <col min="15" max="15" width="13.85546875" customWidth="1"/>
    <col min="16" max="16" width="11.5703125" customWidth="1"/>
  </cols>
  <sheetData>
    <row r="1" spans="1:19" s="43" customFormat="1" ht="27" thickBot="1" x14ac:dyDescent="0.45">
      <c r="A1" s="83" t="s">
        <v>5</v>
      </c>
      <c r="B1" s="84"/>
      <c r="C1" s="84"/>
      <c r="D1" s="84"/>
      <c r="F1" s="83" t="s">
        <v>6</v>
      </c>
      <c r="G1" s="84"/>
      <c r="H1" s="84"/>
      <c r="J1" s="86" t="s">
        <v>7</v>
      </c>
      <c r="K1" s="98"/>
      <c r="L1" s="98"/>
      <c r="N1" s="86" t="s">
        <v>8</v>
      </c>
      <c r="O1" s="98"/>
      <c r="P1" s="98"/>
    </row>
    <row r="2" spans="1:19" ht="19.5" thickTop="1" x14ac:dyDescent="0.3">
      <c r="A2" s="35"/>
      <c r="B2" s="36" t="s">
        <v>9</v>
      </c>
      <c r="C2" s="36" t="s">
        <v>10</v>
      </c>
      <c r="D2" s="36" t="s">
        <v>11</v>
      </c>
      <c r="F2" s="35"/>
      <c r="G2" s="36" t="s">
        <v>12</v>
      </c>
      <c r="H2" s="36" t="s">
        <v>13</v>
      </c>
      <c r="J2" s="48"/>
      <c r="K2" s="49" t="s">
        <v>12</v>
      </c>
      <c r="L2" s="36" t="s">
        <v>13</v>
      </c>
      <c r="N2" s="48"/>
      <c r="O2" s="49" t="s">
        <v>12</v>
      </c>
      <c r="P2" s="36" t="s">
        <v>13</v>
      </c>
      <c r="S2" s="114"/>
    </row>
    <row r="3" spans="1:19" s="21" customFormat="1" ht="28.5" customHeight="1" x14ac:dyDescent="0.25">
      <c r="A3" s="155" t="s">
        <v>12</v>
      </c>
      <c r="B3" s="55" t="str">
        <f>TEXT(IFERROR(GETPIVOTDATA("Count of Play",Refresh!$A$47,"Play Type","Run"),0),"##0%")</f>
        <v>72%</v>
      </c>
      <c r="C3" s="174" t="str">
        <f>TEXT(GETPIVOTDATA("Yards ",Refresh!$A$47,"Play Type","Run"),"#,##0")</f>
        <v>1,499</v>
      </c>
      <c r="D3" s="175" t="str">
        <f>TEXT(IFERROR(GETPIVOTDATA("Sum of Yds per Att",Refresh!$A$47,"Play Type","Run"),0),"###0.0")</f>
        <v>5.5</v>
      </c>
      <c r="F3" s="155" t="s">
        <v>14</v>
      </c>
      <c r="G3" s="90" t="str">
        <f>TEXT(IFERROR(GETPIVOTDATA("% Attempts",Refresh!$A$68,"Down",1,"Play Type","Run"),0),"##0%")</f>
        <v>78%</v>
      </c>
      <c r="H3" s="68" t="str">
        <f>TEXT(IFERROR(GETPIVOTDATA("% Attempts",Refresh!$A$68,"Down",1,"Play Type","Pass"),0),"##0%")</f>
        <v>22%</v>
      </c>
      <c r="J3" s="150" t="s">
        <v>15</v>
      </c>
      <c r="K3" s="66" t="str">
        <f>TEXT(IFERROR(GETPIVOTDATA("% Attempts",Refresh!$A$148,"Play Type","Run","D&amp;D","01:  1st &amp; 10+"),0),"##0%")</f>
        <v>79%</v>
      </c>
      <c r="L3" s="68" t="str">
        <f>TEXT(IFERROR(GETPIVOTDATA("% Attempts",Refresh!$A$148,"Play Type","Pass","D&amp;D","01:  1st &amp; 10+"),0),"##0%")</f>
        <v>21%</v>
      </c>
      <c r="N3" s="150" t="s">
        <v>16</v>
      </c>
      <c r="O3" s="66" t="str">
        <f>TEXT(IFERROR(GETPIVOTDATA("% Attempts",Refresh!$A$125,"Play Type","Run","Yard Line Zone","0-20"),0),"##0%")</f>
        <v>67%</v>
      </c>
      <c r="P3" s="68" t="str">
        <f>TEXT(IFERROR(GETPIVOTDATA("% Attempts",Refresh!$A$125,"Play Type","Pass","Yard Line Zone","0-20"),0),"##0%")</f>
        <v>33%</v>
      </c>
      <c r="S3" s="114"/>
    </row>
    <row r="4" spans="1:19" s="21" customFormat="1" ht="18" customHeight="1" x14ac:dyDescent="0.25">
      <c r="A4" s="156"/>
      <c r="B4" s="78" t="str">
        <f>TEXT(GETPIVOTDATA("Sum of Attempts",Refresh!$A$47,"Play Type","Run"),"##0")&amp;"/"&amp;TEXT(GETPIVOTDATA("Sum of Attempts",Refresh!$A$47),"##0")</f>
        <v>271/376</v>
      </c>
      <c r="C4" s="164"/>
      <c r="D4" s="153"/>
      <c r="F4" s="156"/>
      <c r="G4" s="56" t="str">
        <f>TEXT(IFERROR(GETPIVOTDATA("Count of Attempts",Refresh!$A$68,"Down",1,"Play Type","Run"),0),"##0")&amp;"/"&amp;TEXT(IFERROR(GETPIVOTDATA("Count of Attempts",Refresh!$A$68,"Down",1),0),"##0")</f>
        <v>124/158</v>
      </c>
      <c r="H4" s="52" t="str">
        <f>TEXT(IFERROR(GETPIVOTDATA("Count of Attempts",Refresh!$A$68,"Down",1,"Play Type","Pass"),0),"##0")&amp;"/"&amp;TEXT(IFERROR(GETPIVOTDATA("Count of Attempts",Refresh!$A$68,"Down",1),0),"##0")</f>
        <v>34/158</v>
      </c>
      <c r="J4" s="166"/>
      <c r="K4" s="56" t="str">
        <f>TEXT(IFERROR(GETPIVOTDATA("Count of Attempts",Refresh!$A$148,"Play Type","Run","D&amp;D","01:  1st &amp; 10+"),0),"##0")&amp;"/"&amp;GETPIVOTDATA("Count of Attempts",Refresh!$A$148,"D&amp;D","01:  1st &amp; 10+")</f>
        <v>61/77</v>
      </c>
      <c r="L4" s="52" t="str">
        <f>TEXT(IFERROR(GETPIVOTDATA("Count of Attempts",Refresh!$A$148,"Play Type","Pass","D&amp;D","01:  1st &amp; 10+"),0),"##0")&amp;"/"&amp;GETPIVOTDATA("Count of Attempts",Refresh!$A$148,"D&amp;D","01:  1st &amp; 10+")</f>
        <v>16/77</v>
      </c>
      <c r="N4" s="166"/>
      <c r="O4" s="56" t="str">
        <f>TEXT(IFERROR(GETPIVOTDATA("Count of Attempts",Refresh!$A$125,"Play Type","Run","Yard Line Zone","0-20"),0),"##0")&amp;"/"&amp;TEXT(IFERROR(GETPIVOTDATA("Count of Attempts",Refresh!$A$125,"Yard Line Zone","0-20"),0),"##0")</f>
        <v>22/33</v>
      </c>
      <c r="P4" s="52" t="str">
        <f>TEXT(IFERROR(GETPIVOTDATA("Count of Attempts",Refresh!$A$125,"Play Type","Pass","Yard Line Zone","0-20"),0),"##0")&amp;"/"&amp;TEXT(IFERROR(GETPIVOTDATA("Count of Attempts",Refresh!$A$125,"Yard Line Zone","0-20"),0),"##0")</f>
        <v>11/33</v>
      </c>
      <c r="S4" s="114"/>
    </row>
    <row r="5" spans="1:19" s="21" customFormat="1" ht="24" customHeight="1" x14ac:dyDescent="0.25">
      <c r="A5" s="171" t="s">
        <v>13</v>
      </c>
      <c r="B5" s="55" t="str">
        <f>TEXT(IFERROR(GETPIVOTDATA("Count of Play",Refresh!$A$47,"Play Type","Pass"),0),"##0%")</f>
        <v>28%</v>
      </c>
      <c r="C5" s="164" t="str">
        <f>TEXT(GETPIVOTDATA("Yards ",Refresh!$A$47,"Play Type","Pass"),"#,##0")</f>
        <v>235</v>
      </c>
      <c r="D5" s="153" t="str">
        <f>TEXT(IFERROR(GETPIVOTDATA("Sum of Yds per Att",Refresh!$A$47,"Play Type","Pass"),0),"###0.0")</f>
        <v>2.2</v>
      </c>
      <c r="F5" s="171" t="s">
        <v>17</v>
      </c>
      <c r="G5" s="90" t="str">
        <f>TEXT(IFERROR(GETPIVOTDATA("% Attempts",Refresh!$A$68,"Down",2,"Play Type","Run"),0),"##0%")</f>
        <v>77%</v>
      </c>
      <c r="H5" s="51" t="str">
        <f>TEXT(IFERROR(GETPIVOTDATA("% Attempts",Refresh!$A$68,"Down",2,"Play Type","Pass"),0),"##0%")</f>
        <v>23%</v>
      </c>
      <c r="J5" s="152" t="s">
        <v>18</v>
      </c>
      <c r="K5" s="66" t="str">
        <f>TEXT(IFERROR(GETPIVOTDATA("% Attempts",Refresh!$A$148,"Play Type","Run","D&amp;D","02:  1st &amp; &lt; 10"),0),"##0%")</f>
        <v>83%</v>
      </c>
      <c r="L5" s="68" t="str">
        <f>TEXT(IFERROR(GETPIVOTDATA("% Attempts",Refresh!$A$148,"Play Type","Pass","D&amp;D","02:  1st &amp; &lt; 10"),0),"##0%")</f>
        <v>17%</v>
      </c>
      <c r="N5" s="152" t="s">
        <v>19</v>
      </c>
      <c r="O5" s="66" t="str">
        <f>TEXT(IFERROR(GETPIVOTDATA("% Attempts",Refresh!$A$125,"Play Type","Run","Yard Line Zone","21-49"),0),"##0%")</f>
        <v>71%</v>
      </c>
      <c r="P5" s="68" t="str">
        <f>TEXT(IFERROR(GETPIVOTDATA("% Attempts",Refresh!$A$125,"Play Type","Pass","Yard Line Zone","21-49"),0),"##0%")</f>
        <v>29%</v>
      </c>
      <c r="S5" s="114"/>
    </row>
    <row r="6" spans="1:19" s="21" customFormat="1" ht="18" customHeight="1" x14ac:dyDescent="0.25">
      <c r="A6" s="155"/>
      <c r="B6" s="78" t="str">
        <f>TEXT(GETPIVOTDATA("Sum of Attempts",Refresh!$A$47,"Play Type","Pass"),"##0")&amp;"/"&amp;TEXT(GETPIVOTDATA("Sum of Attempts",Refresh!$A$47),"##0")</f>
        <v>105/376</v>
      </c>
      <c r="C6" s="168"/>
      <c r="D6" s="169"/>
      <c r="F6" s="155"/>
      <c r="G6" s="56" t="str">
        <f>TEXT(IFERROR(GETPIVOTDATA("Count of Attempts",Refresh!$A$68,"Down",2,"Play Type","Run"),0),"##0")&amp;"/"&amp;TEXT(IFERROR(GETPIVOTDATA("Count of Attempts",Refresh!$A$68,"Down",2),0),"##0")</f>
        <v>99/128</v>
      </c>
      <c r="H6" s="52" t="str">
        <f>TEXT(IFERROR(GETPIVOTDATA("Count of Attempts",Refresh!$A$68,"Down",2,"Play Type","Pass"),0),"##0")&amp;"/"&amp;TEXT(IFERROR(GETPIVOTDATA("Count of Attempts",Refresh!$A$68,"Down",2),0),"##0")</f>
        <v>29/128</v>
      </c>
      <c r="J6" s="151"/>
      <c r="K6" s="56" t="str">
        <f>TEXT(IFERROR(GETPIVOTDATA("Count of Attempts",Refresh!$A$148,"Play Type","Run","D&amp;D","02:  1st &amp; &lt; 10"),0),"##0")&amp;"/"&amp;GETPIVOTDATA("Count of Attempts",Refresh!$A$148,"D&amp;D","02:  1st &amp; &lt; 10")</f>
        <v>5/6</v>
      </c>
      <c r="L6" s="52" t="str">
        <f>TEXT(IFERROR(GETPIVOTDATA("Count of Attempts",Refresh!$A$148,"Play Type","Pass","D&amp;D","02:  1st &amp; &lt; 10"),0),"##0")&amp;"/"&amp;GETPIVOTDATA("Count of Attempts",Refresh!$A$148,"D&amp;D","02:  1st &amp; &lt; 10")</f>
        <v>1/6</v>
      </c>
      <c r="N6" s="151"/>
      <c r="O6" s="56" t="str">
        <f>TEXT(IFERROR(GETPIVOTDATA("Count of Attempts",Refresh!$A$125,"Play Type","Run","Yard Line Zone","21-49"),0),"##0")&amp;"/"&amp;TEXT(IFERROR(GETPIVOTDATA("Count of Attempts",Refresh!$A$125,"Yard Line Zone","21-49"),0),"##0")</f>
        <v>123/173</v>
      </c>
      <c r="P6" s="52" t="str">
        <f>TEXT(IFERROR(GETPIVOTDATA("Count of Attempts",Refresh!$A$125,"Play Type","Pass","Yard Line Zone","21-49"),0),"##0")&amp;"/"&amp;TEXT(IFERROR(GETPIVOTDATA("Count of Attempts",Refresh!$A$125,"Yard Line Zone","21-49"),0),"##0")</f>
        <v>50/173</v>
      </c>
      <c r="S6" s="114"/>
    </row>
    <row r="7" spans="1:19" ht="24" customHeight="1" x14ac:dyDescent="0.25">
      <c r="F7" s="171" t="s">
        <v>20</v>
      </c>
      <c r="G7" s="90" t="str">
        <f>TEXT(IFERROR(GETPIVOTDATA("% Attempts",Refresh!$A$68,"Down",3,"Play Type","Run"),0),"##0%")</f>
        <v>56%</v>
      </c>
      <c r="H7" s="51" t="str">
        <f>TEXT(IFERROR(GETPIVOTDATA("% Attempts",Refresh!$A$68,"Down",3,"Play Type","Pass"),0),"##0%")</f>
        <v>44%</v>
      </c>
      <c r="J7" s="152" t="s">
        <v>21</v>
      </c>
      <c r="K7" s="66" t="str">
        <f>TEXT(IFERROR(GETPIVOTDATA("% Attempts",Refresh!$A$148,"Play Type","Run","D&amp;D","03:  2nd &amp; 8+"),0),"##0%")</f>
        <v>68%</v>
      </c>
      <c r="L7" s="68" t="str">
        <f>TEXT(IFERROR(GETPIVOTDATA("% Attempts",Refresh!$A$148,"Play Type","Pass","D&amp;D","03:  2nd &amp; 8+"),0),"##0%")</f>
        <v>33%</v>
      </c>
      <c r="N7" s="152" t="s">
        <v>22</v>
      </c>
      <c r="O7" s="66" t="str">
        <f>TEXT(IFERROR(GETPIVOTDATA("% Attempts",Refresh!$A$125,"Play Type","Run","Yard Line Zone","50-21"),0),"##0%")</f>
        <v>69%</v>
      </c>
      <c r="P7" s="68" t="str">
        <f>TEXT(IFERROR(GETPIVOTDATA("% Attempts",Refresh!$A$125,"Play Type","Pass","Yard Line Zone","50-21"),0),"##0%")</f>
        <v>31%</v>
      </c>
      <c r="S7" s="114"/>
    </row>
    <row r="8" spans="1:19" ht="18" customHeight="1" x14ac:dyDescent="0.25">
      <c r="F8" s="155"/>
      <c r="G8" s="56" t="str">
        <f>TEXT(IFERROR(GETPIVOTDATA("Count of Attempts",Refresh!$A$68,"Down",3,"Play Type","Run"),0),"##0")&amp;"/"&amp;TEXT(IFERROR(GETPIVOTDATA("Count of Attempts",Refresh!$A$68,"Down",3),0),"##0")</f>
        <v>44/79</v>
      </c>
      <c r="H8" s="52" t="str">
        <f>TEXT(IFERROR(GETPIVOTDATA("Count of Attempts",Refresh!$A$68,"Down",3,"Play Type","Pass"),0),"##0")&amp;"/"&amp;TEXT(IFERROR(GETPIVOTDATA("Count of Attempts",Refresh!$A$68,"Down",3),0),"##0")</f>
        <v>35/79</v>
      </c>
      <c r="J8" s="151"/>
      <c r="K8" s="56" t="str">
        <f>TEXT(IFERROR(GETPIVOTDATA("Count of Attempts",Refresh!$A$148,"Play Type","Run","D&amp;D","03:  2nd &amp; 8+"),0),"##0")&amp;"/"&amp;GETPIVOTDATA("Count of Attempts",Refresh!$A$148,"D&amp;D","03:  2nd &amp; 8+")</f>
        <v>27/40</v>
      </c>
      <c r="L8" s="52" t="str">
        <f>TEXT(IFERROR(GETPIVOTDATA("Count of Attempts",Refresh!$A$148,"Play Type","Pass","D&amp;D","03:  2nd &amp; 8+"),0),"##0")&amp;"/"&amp;GETPIVOTDATA("Count of Attempts",Refresh!$A$148,"D&amp;D","03:  2nd &amp; 8+")</f>
        <v>13/40</v>
      </c>
      <c r="N8" s="151"/>
      <c r="O8" s="56" t="str">
        <f>TEXT(IFERROR(GETPIVOTDATA("Count of Attempts",Refresh!$A$125,"Play Type","Run","Yard Line Zone","50-21"),0),"##0")&amp;"/"&amp;TEXT(IFERROR(GETPIVOTDATA("Count of Attempts",Refresh!$A$125,"Yard Line Zone","50-21"),0),"##0")</f>
        <v>82/118</v>
      </c>
      <c r="P8" s="52" t="str">
        <f>TEXT(IFERROR(GETPIVOTDATA("Count of Attempts",Refresh!$A$125,"Play Type","Pass","Yard Line Zone","50-21"),0),"##0")&amp;"/"&amp;TEXT(IFERROR(GETPIVOTDATA("Count of Attempts",Refresh!$A$125,"Yard Line Zone","50-21"),0),"##0")</f>
        <v>36/118</v>
      </c>
      <c r="S8" s="114"/>
    </row>
    <row r="9" spans="1:19" ht="24" customHeight="1" thickBot="1" x14ac:dyDescent="0.45">
      <c r="A9" s="116" t="s">
        <v>23</v>
      </c>
      <c r="B9" s="84"/>
      <c r="C9" s="84"/>
      <c r="D9" s="84"/>
      <c r="F9" s="171" t="s">
        <v>24</v>
      </c>
      <c r="G9" s="90" t="str">
        <f>TEXT(IFERROR(GETPIVOTDATA("% Attempts",Refresh!$A$68,"Down",4,"Play Type","Run"),0),"##0%")</f>
        <v>36%</v>
      </c>
      <c r="H9" s="51" t="str">
        <f>TEXT(IFERROR(GETPIVOTDATA("% Attempts",Refresh!$A$68,"Down",4,"Play Type","Pass"),0),"##0%")</f>
        <v>64%</v>
      </c>
      <c r="J9" s="152" t="s">
        <v>25</v>
      </c>
      <c r="K9" s="66" t="str">
        <f>TEXT(IFERROR(GETPIVOTDATA("% Attempts",Refresh!$A$148,"Play Type","Run","D&amp;D","04:  2nd &amp; 4 - 7"),0),"##0%")</f>
        <v>95%</v>
      </c>
      <c r="L9" s="68" t="str">
        <f>TEXT(IFERROR(GETPIVOTDATA("% Attempts",Refresh!$A$148,"Play Type","Pass","D&amp;D","04:  2nd &amp; 4 - 7"),0),"##0%")</f>
        <v>5%</v>
      </c>
      <c r="N9" s="152" t="s">
        <v>26</v>
      </c>
      <c r="O9" s="66" t="str">
        <f>TEXT(IFERROR(GETPIVOTDATA("% Attempts",Refresh!$A$125,"Play Type","Run","Yard Line Zone","Red Zone"),0),"##0%")</f>
        <v>85%</v>
      </c>
      <c r="P9" s="68" t="str">
        <f>TEXT(IFERROR(GETPIVOTDATA("% Attempts",Refresh!$A$125,"Play Type","Pass","Yard Line Zone","Red Zone"),0),"##0%")</f>
        <v>15%</v>
      </c>
      <c r="S9" s="114"/>
    </row>
    <row r="10" spans="1:19" ht="18" customHeight="1" thickTop="1" thickBot="1" x14ac:dyDescent="0.35">
      <c r="A10" s="35"/>
      <c r="B10" s="36"/>
      <c r="C10" s="36" t="s">
        <v>10</v>
      </c>
      <c r="D10" s="36" t="s">
        <v>11</v>
      </c>
      <c r="F10" s="181"/>
      <c r="G10" s="102" t="str">
        <f>TEXT(IFERROR(GETPIVOTDATA("Count of Attempts",Refresh!$A$68,"Down",4,"Play Type","Run"),0),"##0")&amp;"/"&amp;TEXT(IFERROR(GETPIVOTDATA("Count of Attempts",Refresh!$A$68,"Down",4),0),"##0")</f>
        <v>4/11</v>
      </c>
      <c r="H10" s="107" t="str">
        <f>TEXT(IFERROR(GETPIVOTDATA("Count of Attempts",Refresh!$A$68,"Down",4,"Play Type","Pass"),0),"##0")&amp;"/"&amp;TEXT(IFERROR(GETPIVOTDATA("Count of Attempts",Refresh!$A$68,"Down",4),0),"##0")</f>
        <v>7/11</v>
      </c>
      <c r="J10" s="151"/>
      <c r="K10" s="56" t="str">
        <f>TEXT(IFERROR(GETPIVOTDATA("Count of Attempts",Refresh!$A$148,"Play Type","Run","D&amp;D","04:  2nd &amp; 4 - 7"),0),"##0")&amp;"/"&amp;GETPIVOTDATA("Count of Attempts",Refresh!$A$148,"D&amp;D","04:  2nd &amp; 4 - 7")</f>
        <v>18/19</v>
      </c>
      <c r="L10" s="52" t="str">
        <f>TEXT(IFERROR(GETPIVOTDATA("Count of Attempts",Refresh!$A$148,"Play Type","Pass","D&amp;D","04:  2nd &amp; 4 - 7"),0),"##0")&amp;"/"&amp;GETPIVOTDATA("Count of Attempts",Refresh!$A$148,"D&amp;D","04:  2nd &amp; 4 - 7")</f>
        <v>1/19</v>
      </c>
      <c r="N10" s="151"/>
      <c r="O10" s="56" t="str">
        <f>TEXT(IFERROR(GETPIVOTDATA("Count of Attempts",Refresh!$A$125,"Play Type","Run","Yard Line Zone","Red Zone"),0),"##0")&amp;"/"&amp;TEXT(IFERROR(GETPIVOTDATA("Count of Attempts",Refresh!$A$125,"Yard Line Zone","Red Zone"),0),"##0")</f>
        <v>39/46</v>
      </c>
      <c r="P10" s="52" t="str">
        <f>TEXT(IFERROR(GETPIVOTDATA("Count of Attempts",Refresh!$A$125,"Play Type","Pass","Yard Line Zone","Red Zone"),0),"##0")&amp;"/"&amp;TEXT(IFERROR(GETPIVOTDATA("Count of Attempts",Refresh!$A$125,"Yard Line Zone","Red Zone"),0),"##0")</f>
        <v>7/46</v>
      </c>
      <c r="S10" s="114"/>
    </row>
    <row r="11" spans="1:19" ht="24" customHeight="1" thickTop="1" x14ac:dyDescent="0.25">
      <c r="A11" s="160" t="s">
        <v>1</v>
      </c>
      <c r="B11" s="66" t="str">
        <f>TEXT(IFERROR(GETPIVOTDATA("Sum of Attempts",Refresh!$A$97,"Strength","L"),0),"##0%")</f>
        <v>0%</v>
      </c>
      <c r="C11" s="178" t="str">
        <f>TEXT(IFERROR(GETPIVOTDATA("Sum of Yards",Refresh!$A$97,"Strength","L"),0),"###0")</f>
        <v>0</v>
      </c>
      <c r="D11" s="179" t="str">
        <f>TEXT(IFERROR(GETPIVOTDATA("Sum of Yrd per Att/",Refresh!$A$97,"Strength","L"),0),"###0.0")</f>
        <v>0.0</v>
      </c>
      <c r="F11" s="155" t="s">
        <v>27</v>
      </c>
      <c r="G11" s="46" t="str">
        <f>TEXT(IFERROR(GETPIVOTDATA("% Attempts",Refresh!$A$68,"Play Type","Run"),0),"##0%")</f>
        <v>72%</v>
      </c>
      <c r="H11" s="38" t="str">
        <f>TEXT(IFERROR(GETPIVOTDATA("% Attempts",Refresh!$A$68,"Play Type","Pass"),0),"##0%")</f>
        <v>28%</v>
      </c>
      <c r="J11" s="152" t="s">
        <v>28</v>
      </c>
      <c r="K11" s="66" t="str">
        <f>TEXT(IFERROR(GETPIVOTDATA("% Attempts",Refresh!$A$148,"Play Type","Run","D&amp;D","05:  2nd &amp; &lt; 4"),0),"##0%")</f>
        <v>89%</v>
      </c>
      <c r="L11" s="68" t="str">
        <f>TEXT(IFERROR(GETPIVOTDATA("% Attempts",Refresh!$A$148,"Play Type","Pass","D&amp;D","05:  2nd &amp; &lt; 4"),0),"##0%")</f>
        <v>11%</v>
      </c>
      <c r="N11" s="152" t="s">
        <v>29</v>
      </c>
      <c r="O11" s="66" t="str">
        <f>TEXT(IFERROR(GETPIVOTDATA("% Attempts",Refresh!$A$125,"Play Type","Run","Yard Line Zone","Goal Line"),0),"##0%")</f>
        <v>83%</v>
      </c>
      <c r="P11" s="68" t="str">
        <f>TEXT(IFERROR(GETPIVOTDATA("% Attempts",Refresh!$A$125,"Play Type","Pass","Yard Line Zone","Goal Line"),0),"##0%")</f>
        <v>17%</v>
      </c>
      <c r="S11" s="114"/>
    </row>
    <row r="12" spans="1:19" ht="18" customHeight="1" x14ac:dyDescent="0.25">
      <c r="A12" s="161"/>
      <c r="B12" s="94" t="str">
        <f>TEXT(IFERROR(GETPIVOTDATA("Sum of Attempts2",Refresh!$A$97,"Strength","L"),0),"##0")&amp;"/"&amp;TEXT(IFERROR(GETPIVOTDATA("Sum of Attempts2",Refresh!$A$97),0),"##0")</f>
        <v>0/0</v>
      </c>
      <c r="C12" s="164"/>
      <c r="D12" s="153"/>
      <c r="F12" s="155"/>
      <c r="G12" s="40" t="str">
        <f>TEXT(IFERROR(GETPIVOTDATA("Count of Attempts",Refresh!$A$68,"Play Type","Run"),0),"##0")&amp;"/"&amp;TEXT(IFERROR(GETPIVOTDATA("Count of Attempts",Refresh!$A$68),0),"##0")</f>
        <v>271/376</v>
      </c>
      <c r="H12" s="41" t="str">
        <f>TEXT(IFERROR(GETPIVOTDATA("Count of Attempts",Refresh!$A$68,"Play Type","Pass"),0),"##0")&amp;"/"&amp;TEXT(IFERROR(GETPIVOTDATA("Count of Attempts",Refresh!$A$68),0),"##0")</f>
        <v>105/376</v>
      </c>
      <c r="J12" s="151"/>
      <c r="K12" s="56" t="str">
        <f>TEXT(IFERROR(GETPIVOTDATA("Count of Attempts",Refresh!$A$148,"Play Type","Run","D&amp;D","05:  2nd &amp; &lt; 4"),0),"##0")&amp;"/"&amp;GETPIVOTDATA("Count of Attempts",Refresh!$A$148,"D&amp;D","05:  2nd &amp; &lt; 4")</f>
        <v>8/9</v>
      </c>
      <c r="L12" s="52" t="str">
        <f>TEXT(IFERROR(GETPIVOTDATA("Count of Attempts",Refresh!$A$148,"Play Type","Pass","D&amp;D","05:  2nd &amp; &lt; 4"),0),"##0")&amp;"/"&amp;GETPIVOTDATA("Count of Attempts",Refresh!$A$148,"D&amp;D","05:  2nd &amp; &lt; 4")</f>
        <v>1/9</v>
      </c>
      <c r="N12" s="166"/>
      <c r="O12" s="67" t="str">
        <f>TEXT(IFERROR(GETPIVOTDATA("Count of Attempts",Refresh!$A$125,"Play Type","Run","Yard Line Zone","Goal Line"),0),"##0")&amp;"/"&amp;TEXT(IFERROR(GETPIVOTDATA("Count of Attempts",Refresh!$A$125,"Yard Line Zone","Goal Line"),0),"##0")</f>
        <v>5/6</v>
      </c>
      <c r="P12" s="69" t="str">
        <f>TEXT(IFERROR(GETPIVOTDATA("Count of Attempts",Refresh!$A$125,"Play Type","Pass","Yard Line Zone","Goal Line"),0),"##0")&amp;"/"&amp;TEXT(IFERROR(GETPIVOTDATA("Count of Attempts",Refresh!$A$125,"Yard Line Zone","Goal Line"),0),"##0")</f>
        <v>1/6</v>
      </c>
    </row>
    <row r="13" spans="1:19" ht="23.25" customHeight="1" x14ac:dyDescent="0.25">
      <c r="A13" s="161" t="s">
        <v>3</v>
      </c>
      <c r="B13" s="55" t="str">
        <f>TEXT(IFERROR(GETPIVOTDATA("Sum of Attempts",Refresh!$A$97,"Strength","R"),0),"##0%")</f>
        <v>0%</v>
      </c>
      <c r="C13" s="164" t="str">
        <f>TEXT(IFERROR(GETPIVOTDATA("Sum of Yards",Refresh!$A$97,"Strength","R"),0),"###0")</f>
        <v>0</v>
      </c>
      <c r="D13" s="153" t="str">
        <f>TEXT(IFERROR(GETPIVOTDATA("Sum of Yrd per Att/",Refresh!$A$97,"Strength","R"),0),"###0.0")</f>
        <v>0.0</v>
      </c>
      <c r="J13" s="152" t="s">
        <v>30</v>
      </c>
      <c r="K13" s="66" t="str">
        <f>TEXT(IFERROR(GETPIVOTDATA("% Attempts",Refresh!$A$148,"Play Type","Run","D&amp;D","06:  3rd &amp; 8+"),0),"##0%")</f>
        <v>59%</v>
      </c>
      <c r="L13" s="68" t="str">
        <f>TEXT(IFERROR(GETPIVOTDATA("% Attempts",Refresh!$A$148,"Play Type","Pass","D&amp;D","06:  3rd &amp; 8+"),0),"##0%")</f>
        <v>41%</v>
      </c>
    </row>
    <row r="14" spans="1:19" ht="23.25" customHeight="1" x14ac:dyDescent="0.25">
      <c r="A14" s="161"/>
      <c r="B14" s="94" t="str">
        <f>TEXT(IFERROR(GETPIVOTDATA("Sum of Attempts2",Refresh!$A$97,"Strength","R"),0),"##0")&amp;"/"&amp;TEXT(IFERROR(GETPIVOTDATA("Sum of Attempts2",Refresh!$A$97),0),"##0")</f>
        <v>0/0</v>
      </c>
      <c r="C14" s="164"/>
      <c r="D14" s="153"/>
      <c r="J14" s="151"/>
      <c r="K14" s="56" t="str">
        <f>TEXT(IFERROR(GETPIVOTDATA("Count of Attempts",Refresh!$A$148,"Play Type","Run","D&amp;D","06:  3rd &amp; 8+"),0),"##0")&amp;"/"&amp;GETPIVOTDATA("Count of Attempts",Refresh!$A$148,"D&amp;D","06:  3rd &amp; 8+")</f>
        <v>13/22</v>
      </c>
      <c r="L14" s="52" t="str">
        <f>TEXT(IFERROR(GETPIVOTDATA("Count of Attempts",Refresh!$A$148,"Play Type","Pass","D&amp;D","06:  3rd &amp; 8+"),0),"##0")&amp;"/"&amp;GETPIVOTDATA("Count of Attempts",Refresh!$A$148,"D&amp;D","06:  3rd &amp; 8+")</f>
        <v>9/22</v>
      </c>
    </row>
    <row r="15" spans="1:19" ht="23.25" customHeight="1" x14ac:dyDescent="0.25">
      <c r="A15" s="161" t="s">
        <v>31</v>
      </c>
      <c r="B15" s="55" t="str">
        <f>TEXT(IFERROR(GETPIVOTDATA("Sum of Attempts",Refresh!$A$97,"Strength","BAL"),0),"##0%")</f>
        <v>0%</v>
      </c>
      <c r="C15" s="164" t="str">
        <f>TEXT(IFERROR(GETPIVOTDATA("Sum of Yards",Refresh!$A$97,"Strength","BAL"),0),"###0")</f>
        <v>0</v>
      </c>
      <c r="D15" s="153" t="str">
        <f>TEXT(IFERROR(GETPIVOTDATA("Sum of Yrd per Att/",Refresh!$A$97,"Strength","BAL"),0),"###0.0")</f>
        <v>0.0</v>
      </c>
      <c r="J15" s="152" t="s">
        <v>32</v>
      </c>
      <c r="K15" s="66" t="str">
        <f>TEXT(IFERROR(GETPIVOTDATA("% Attempts",Refresh!$A$148,"Play Type","Run","D&amp;D","07:  3rd &amp; 4 - 7"),0),"##0%")</f>
        <v>67%</v>
      </c>
      <c r="L15" s="68" t="str">
        <f>TEXT(IFERROR(GETPIVOTDATA("% Attempts",Refresh!$A$148,"Play Type","Pass","D&amp;D","07:  3rd &amp; 4 - 7"),0),"##0%")</f>
        <v>33%</v>
      </c>
    </row>
    <row r="16" spans="1:19" ht="21" customHeight="1" thickBot="1" x14ac:dyDescent="0.45">
      <c r="A16" s="162"/>
      <c r="B16" s="117" t="str">
        <f>TEXT(IFERROR(GETPIVOTDATA("Sum of Attempts2",Refresh!$A$97,"Strength","BAL"),0),"##0")&amp;"/"&amp;TEXT(IFERROR(GETPIVOTDATA("Sum of Attempts2",Refresh!$A$97),0),"##0")</f>
        <v>0/0</v>
      </c>
      <c r="C16" s="165"/>
      <c r="D16" s="154"/>
      <c r="J16" s="151"/>
      <c r="K16" s="56" t="str">
        <f>TEXT(IFERROR(GETPIVOTDATA("Count of Attempts",Refresh!$A$148,"Play Type","Run","D&amp;D","01:  1st &amp; 10+"),0),"##0")&amp;"/"&amp;GETPIVOTDATA("Count of Attempts",Refresh!$A$148,"D&amp;D","01:  1st &amp; 10+")</f>
        <v>61/77</v>
      </c>
      <c r="L16" s="52" t="str">
        <f>TEXT(IFERROR(GETPIVOTDATA("Count of Attempts",Refresh!$A$148,"Play Type","Pass","D&amp;D","01:  1st &amp; 10+"),0),"##0")&amp;"/"&amp;GETPIVOTDATA("Count of Attempts",Refresh!$A$148,"D&amp;D","01:  1st &amp; 10+")</f>
        <v>16/77</v>
      </c>
      <c r="N16" s="83" t="s">
        <v>33</v>
      </c>
      <c r="O16" s="84"/>
      <c r="P16" s="84"/>
    </row>
    <row r="17" spans="1:16" ht="24" customHeight="1" thickTop="1" x14ac:dyDescent="0.25">
      <c r="A17" s="163" t="s">
        <v>34</v>
      </c>
      <c r="B17" s="115" t="str">
        <f>TEXT(IFERROR(GETPIVOTDATA("Sum of Attempts",Refresh!$A$83,"Strength1","Strong"),0),"##0%")</f>
        <v>0%</v>
      </c>
      <c r="C17" s="176" t="str">
        <f>TEXT(IFERROR(GETPIVOTDATA("Sum of Yards",Refresh!$A$83,"Strength1","Strong"),0),"#,##0")</f>
        <v>0</v>
      </c>
      <c r="D17" s="177" t="str">
        <f>TEXT(IFERROR(GETPIVOTDATA("Sum of Yrd per Att/",Refresh!$A$83,"Strength1","Strong"),0),"#0.0")</f>
        <v>0.0</v>
      </c>
      <c r="J17" s="152" t="s">
        <v>35</v>
      </c>
      <c r="K17" s="66" t="str">
        <f>TEXT(IFERROR(GETPIVOTDATA("% Attempts",Refresh!$A$148,"Play Type","Run","D&amp;D","08:  3rd &amp; &lt; 4"),0),"##0%")</f>
        <v>100%</v>
      </c>
      <c r="L17" s="68" t="str">
        <f>TEXT(IFERROR(GETPIVOTDATA("% Attempts",Refresh!$A$148,"Play Type","Pass","D&amp;D","08:  3rd &amp; &lt; 4"),0),"##0%")</f>
        <v>0%</v>
      </c>
      <c r="N17" s="47"/>
      <c r="O17" s="47"/>
      <c r="P17" s="47"/>
    </row>
    <row r="18" spans="1:16" ht="20.65" customHeight="1" x14ac:dyDescent="0.25">
      <c r="A18" s="156"/>
      <c r="B18" s="56" t="str">
        <f>TEXT(IFERROR(GETPIVOTDATA("Sum of Attempts2",Refresh!$A$83,"Strength1","Strong"),0),"##0")&amp;"/"&amp;TEXT(IFERROR(GETPIVOTDATA("Sum of Attempts2",Refresh!$A$83),0),"##0")</f>
        <v>0/0</v>
      </c>
      <c r="C18" s="164"/>
      <c r="D18" s="153"/>
      <c r="J18" s="151"/>
      <c r="K18" s="56" t="str">
        <f>TEXT(IFERROR(GETPIVOTDATA("Count of Attempts",Refresh!$A$148,"Play Type","Run","D&amp;D","08:  3rd &amp; &lt; 4"),0),"##0")&amp;"/"&amp;GETPIVOTDATA("Count of Attempts",Refresh!$A$148,"D&amp;D","08:  3rd &amp; &lt; 4")</f>
        <v>9/9</v>
      </c>
      <c r="L18" s="52" t="str">
        <f>TEXT(IFERROR(GETPIVOTDATA("Count of Attempts",Refresh!$A$148,"Play Type","Pass","D&amp;D","08:  3rd &amp; &lt; 4"),0),"##0")&amp;"/"&amp;GETPIVOTDATA("Count of Attempts",Refresh!$A$148,"D&amp;D","08:  3rd &amp; &lt; 4")</f>
        <v>0/9</v>
      </c>
      <c r="N18" s="157" t="s">
        <v>12</v>
      </c>
      <c r="O18" s="110" t="s">
        <v>36</v>
      </c>
      <c r="P18" s="68" t="str">
        <f>TEXT(IFERROR(GETPIVOTDATA("% Attempts",Refresh!$A$111,"Play Type","Run","Boundry","Field"),0),"##0%")</f>
        <v>61%</v>
      </c>
    </row>
    <row r="19" spans="1:16" ht="20.25" customHeight="1" x14ac:dyDescent="0.25">
      <c r="A19" s="171" t="s">
        <v>37</v>
      </c>
      <c r="B19" s="55" t="str">
        <f>TEXT(IFERROR(GETPIVOTDATA("Sum of Attempts",Refresh!$A$83,"Strength1","Weak"),0),"##0%")</f>
        <v>0%</v>
      </c>
      <c r="C19" s="164" t="str">
        <f>TEXT(IFERROR(GETPIVOTDATA("Sum of Yards",Refresh!$A$83,"Strength1","Weak"),0),"#,##0")</f>
        <v>0</v>
      </c>
      <c r="D19" s="153" t="str">
        <f>TEXT(IFERROR(GETPIVOTDATA("Sum of Yrd per Att/",Refresh!$A$83,"Strength1","Weak"),0),"#0.0")</f>
        <v>0.0</v>
      </c>
      <c r="J19" s="152" t="s">
        <v>38</v>
      </c>
      <c r="K19" s="66" t="str">
        <f>TEXT(IFERROR(GETPIVOTDATA("% Attempts",Refresh!$A$148,"Play Type","Run","D&amp;D","09:  4th &amp; 2+"),0),"##0%")</f>
        <v>50%</v>
      </c>
      <c r="L19" s="68" t="str">
        <f>TEXT(IFERROR(GETPIVOTDATA("% Attempts",Refresh!$A$148,"Play Type","Pass","D&amp;D","09:  4th &amp; 2+"),0),"##0%")</f>
        <v>50%</v>
      </c>
      <c r="N19" s="158"/>
      <c r="O19" s="44" t="s">
        <v>39</v>
      </c>
      <c r="P19" s="52" t="str">
        <f>TEXT(IFERROR(GETPIVOTDATA("Count of Attempts",Refresh!$A$111,"Play Type","Run","Boundry","Field"),0),"##0")&amp;"/"&amp;TEXT(IFERROR(GETPIVOTDATA("Count of Attempts",Refresh!$A$111:$A$111,"Play Type","Run"),0),"###0")</f>
        <v>132/218</v>
      </c>
    </row>
    <row r="20" spans="1:16" ht="20.65" customHeight="1" x14ac:dyDescent="0.25">
      <c r="A20" s="155"/>
      <c r="B20" s="56" t="str">
        <f>TEXT(IFERROR(GETPIVOTDATA("Sum of Attempts2",Refresh!$A$83,"Strength1","Weak"),0),"##0")&amp;"/"&amp;TEXT(IFERROR(GETPIVOTDATA("Sum of Attempts2",Refresh!$A$83),0),"##0")</f>
        <v>0/0</v>
      </c>
      <c r="C20" s="164"/>
      <c r="D20" s="153"/>
      <c r="J20" s="151"/>
      <c r="K20" s="56" t="str">
        <f>TEXT(IFERROR(GETPIVOTDATA("Count of Attempts",Refresh!$A$148,"Play Type","Run","D&amp;D","09:  4th &amp; 2+"),0),"##0")&amp;"/"&amp;GETPIVOTDATA("Count of Attempts",Refresh!$A$148,"D&amp;D","09:  4th &amp; 2+")</f>
        <v>4/8</v>
      </c>
      <c r="L20" s="52" t="str">
        <f>TEXT(IFERROR(GETPIVOTDATA("Count of Attempts",Refresh!$A$148,"Play Type","Pass","D&amp;D","09:  4th &amp; 2+"),0),"##0")&amp;"/"&amp;GETPIVOTDATA("Count of Attempts",Refresh!$A$148,"D&amp;D","09:  4th &amp; 2+")</f>
        <v>4/8</v>
      </c>
      <c r="N20" s="158"/>
      <c r="O20" s="53" t="s">
        <v>40</v>
      </c>
      <c r="P20" s="88" t="str">
        <f>TEXT(IFERROR(GETPIVOTDATA("% Attempts",Refresh!$A$111,"Play Type","Run","Boundry","Boundry"),0),"##0%")</f>
        <v>39%</v>
      </c>
    </row>
    <row r="21" spans="1:16" ht="16.5" customHeight="1" x14ac:dyDescent="0.25">
      <c r="A21" s="171" t="s">
        <v>31</v>
      </c>
      <c r="B21" s="55" t="str">
        <f>TEXT(IFERROR(GETPIVOTDATA("Sum of Attempts",Refresh!$A$83,"Strength1","BAL"),0),"##0%")</f>
        <v>0%</v>
      </c>
      <c r="C21" s="164" t="str">
        <f>TEXT(IFERROR(GETPIVOTDATA("Sum of Yards",Refresh!$A$83,"Strength1","BAL"),0),"#,##0")</f>
        <v>0</v>
      </c>
      <c r="D21" s="153" t="str">
        <f>TEXT(IFERROR(GETPIVOTDATA("Sum of Yrd per Att/",Refresh!$A$83,"Strength1","BAL"),0),"#0.0")</f>
        <v>0.0</v>
      </c>
      <c r="J21" s="152" t="s">
        <v>41</v>
      </c>
      <c r="K21" s="66" t="str">
        <f>TEXT(IFERROR(GETPIVOTDATA("% Attempts",Refresh!$A$148,"Play Type","Run","D&amp;D","10:  4th &amp; &lt; 2"),0),"##0%")</f>
        <v>0%</v>
      </c>
      <c r="L21" s="68" t="str">
        <f>TEXT(IFERROR(GETPIVOTDATA("% Attempts",Refresh!$A$148,"Play Type","Pass","D&amp;D","10:  4th &amp; &lt; 2"),0),"##0%")</f>
        <v>0%</v>
      </c>
      <c r="N21" s="159"/>
      <c r="O21" s="111" t="s">
        <v>42</v>
      </c>
      <c r="P21" s="52" t="str">
        <f>TEXT(IFERROR(GETPIVOTDATA("Count of Attempts",Refresh!$A$111,"Play Type","Run","Boundry","Boundry"),0),"##0")&amp;"/"&amp;TEXT(IFERROR(GETPIVOTDATA("Count of Attempts",Refresh!$A$111:$A$111,"Play Type","Run"),0),"###0")</f>
        <v>86/218</v>
      </c>
    </row>
    <row r="22" spans="1:16" ht="17.25" customHeight="1" x14ac:dyDescent="0.25">
      <c r="A22" s="155"/>
      <c r="B22" s="67" t="str">
        <f>TEXT(IFERROR(GETPIVOTDATA("Sum of Attempts2",Refresh!$A$83,"Strength1","BAL"),0),"##0")&amp;"/"&amp;TEXT(IFERROR(GETPIVOTDATA("Sum of Attempts2",Refresh!$A$83),0),"##0")</f>
        <v>0/0</v>
      </c>
      <c r="C22" s="168"/>
      <c r="D22" s="169"/>
      <c r="J22" s="166"/>
      <c r="K22" s="67" t="e">
        <f>TEXT(IFERROR(GETPIVOTDATA("Count of Attempts",Refresh!$A$148,"Play Type","Run","D&amp;D","10:  4th &amp; &lt; 2"),0),"##0")&amp;"/"&amp;GETPIVOTDATA("Count of Attempts",Refresh!$A$148,"D&amp;D","10:  4th &amp; &lt; 2")</f>
        <v>#REF!</v>
      </c>
      <c r="L22" s="69" t="e">
        <f>TEXT(IFERROR(GETPIVOTDATA("Count of Attempts",Refresh!$A$148,"Play Type","Pass","D&amp;D","10:  4th &amp; &lt; 2"),0),"##0")&amp;"/"&amp;GETPIVOTDATA("Count of Attempts",Refresh!$A$148,"D&amp;D","10:  4th &amp; &lt; 2")</f>
        <v>#REF!</v>
      </c>
      <c r="N22" s="172" t="s">
        <v>13</v>
      </c>
      <c r="O22" s="53" t="s">
        <v>36</v>
      </c>
      <c r="P22" s="68" t="str">
        <f>TEXT(IFERROR(GETPIVOTDATA("% Attempts",Refresh!$A$111,"Play Type","Pass","Boundry","Field"),0),"##0%")</f>
        <v>81%</v>
      </c>
    </row>
    <row r="23" spans="1:16" ht="15" customHeight="1" x14ac:dyDescent="0.25">
      <c r="N23" s="158"/>
      <c r="O23" s="44" t="s">
        <v>39</v>
      </c>
      <c r="P23" s="52" t="str">
        <f>TEXT(IFERROR(GETPIVOTDATA("Count of Attempts",Refresh!$A$111,"Play Type","Pass","Boundry","Field"),0),"##0")&amp;"/"&amp;TEXT(IFERROR(GETPIVOTDATA("Count of Attempts",Refresh!$A$111:$A$111,"Play Type","Pass"),0),"###0")</f>
        <v>51/63</v>
      </c>
    </row>
    <row r="24" spans="1:16" ht="19.7" customHeight="1" x14ac:dyDescent="0.25">
      <c r="N24" s="158"/>
      <c r="O24" s="53" t="s">
        <v>40</v>
      </c>
      <c r="P24" s="88" t="str">
        <f>TEXT(IFERROR(GETPIVOTDATA("% Attempts",Refresh!$A$111,"Play Type","Pass","Boundry","Boundry"),0),"##0%")</f>
        <v>19%</v>
      </c>
    </row>
    <row r="25" spans="1:16" ht="22.5" customHeight="1" thickBot="1" x14ac:dyDescent="0.45">
      <c r="A25" s="83" t="s">
        <v>43</v>
      </c>
      <c r="B25" s="84"/>
      <c r="C25" s="84"/>
      <c r="D25" s="85"/>
      <c r="E25" s="85"/>
      <c r="F25" s="85"/>
      <c r="G25" s="85"/>
      <c r="H25" s="85"/>
      <c r="I25" s="85"/>
      <c r="J25" s="87"/>
      <c r="K25" s="87"/>
      <c r="N25" s="173"/>
      <c r="O25" s="109" t="s">
        <v>42</v>
      </c>
      <c r="P25" s="107" t="str">
        <f>TEXT(IFERROR(GETPIVOTDATA("Count of Attempts",Refresh!$A$111,"Play Type","Pass","Boundry","Boundry"),0),"##0")&amp;"/"&amp;TEXT(IFERROR(GETPIVOTDATA("Count of Attempts",Refresh!$A$111:$A$111,"Play Type","Pass"),0),"###0")</f>
        <v>12/63</v>
      </c>
    </row>
    <row r="26" spans="1:16" ht="21.95" customHeight="1" thickTop="1" x14ac:dyDescent="0.35">
      <c r="A26" s="50"/>
      <c r="B26" s="149" t="s">
        <v>44</v>
      </c>
      <c r="C26" s="170"/>
      <c r="D26" s="146" t="s">
        <v>45</v>
      </c>
      <c r="E26" s="147"/>
      <c r="F26" s="148" t="s">
        <v>46</v>
      </c>
      <c r="G26" s="170"/>
      <c r="H26" s="146" t="s">
        <v>26</v>
      </c>
      <c r="I26" s="147"/>
      <c r="J26" s="148" t="s">
        <v>29</v>
      </c>
      <c r="K26" s="149"/>
      <c r="N26" s="172" t="s">
        <v>27</v>
      </c>
      <c r="O26" s="108" t="s">
        <v>36</v>
      </c>
      <c r="P26" s="88" t="str">
        <f>TEXT(IFERROR(GETPIVOTDATA("% Attempts",Refresh!$A$111,"Boundry","Field"),0),"##0%")</f>
        <v>65%</v>
      </c>
    </row>
    <row r="27" spans="1:16" ht="15.95" customHeight="1" x14ac:dyDescent="0.3">
      <c r="A27" s="48"/>
      <c r="B27" s="49" t="s">
        <v>12</v>
      </c>
      <c r="C27" s="70" t="s">
        <v>13</v>
      </c>
      <c r="D27" s="118" t="s">
        <v>12</v>
      </c>
      <c r="E27" s="119" t="s">
        <v>13</v>
      </c>
      <c r="F27" s="75" t="s">
        <v>12</v>
      </c>
      <c r="G27" s="70" t="s">
        <v>13</v>
      </c>
      <c r="H27" s="118" t="s">
        <v>12</v>
      </c>
      <c r="I27" s="119" t="s">
        <v>13</v>
      </c>
      <c r="J27" s="75" t="s">
        <v>12</v>
      </c>
      <c r="K27" s="49" t="s">
        <v>13</v>
      </c>
      <c r="N27" s="158"/>
      <c r="O27" s="44" t="s">
        <v>39</v>
      </c>
      <c r="P27" s="52" t="str">
        <f>TEXT(IFERROR(GETPIVOTDATA("Count of Attempts",Refresh!$A$111,"Boundry","Field"),0),"##0")&amp;"/"&amp;TEXT(IFERROR(GETPIVOTDATA("Count of Attempts",Refresh!$A$111),0),"##0")</f>
        <v>183/281</v>
      </c>
    </row>
    <row r="28" spans="1:16" ht="21" x14ac:dyDescent="0.25">
      <c r="A28" s="150" t="s">
        <v>15</v>
      </c>
      <c r="B28" s="66" t="str">
        <f>TEXT(IFERROR(GETPIVOTDATA("% Attempts",Refresh!$A$125,"Play Type","Run","D&amp;D","01:  1st &amp; 10+","Yard Line Zone","0-20"),0),"##0%")</f>
        <v>75%</v>
      </c>
      <c r="C28" s="71" t="str">
        <f>TEXT(IFERROR(GETPIVOTDATA("% Attempts",Refresh!$A$125,"Play Type","Pass","D&amp;D","01:  1st &amp; 10+","Yard Line Zone","0-20"),0),"##0%")</f>
        <v>25%</v>
      </c>
      <c r="D28" s="120" t="str">
        <f>TEXT(IFERROR(GETPIVOTDATA("% Attempts",Refresh!$A$125,"Play Type","Run","D&amp;D","01:  1st &amp; 10+","Yard Line Zone","21-49"),0),"##0%")</f>
        <v>80%</v>
      </c>
      <c r="E28" s="73" t="str">
        <f>TEXT(IFERROR(GETPIVOTDATA("% Attempts",Refresh!$A$125,"Play Type","Pass","D&amp;D","01:  1st &amp; 10+","Yard Line Zone","21-49"),0),"##0%")</f>
        <v>20%</v>
      </c>
      <c r="F28" s="95" t="str">
        <f>TEXT(IFERROR(GETPIVOTDATA("% Attempts",Refresh!$A$125,"Play Type","Run","D&amp;D","01:  1st &amp; 10+","Yard Line Zone","50-21"),0),"##0%")</f>
        <v>79%</v>
      </c>
      <c r="G28" s="71" t="str">
        <f>TEXT(IFERROR(GETPIVOTDATA("% Attempts",Refresh!$A$125,"Play Type","Pass","D&amp;D","01:  1st &amp; 10+","Yard Line Zone","50-21"),0),"##0%")</f>
        <v>21%</v>
      </c>
      <c r="H28" s="76" t="str">
        <f>TEXT(IFERROR(GETPIVOTDATA("% Attempts",Refresh!$A$125,"Play Type","Run","D&amp;D","01:  1st &amp; 10+","Yard Line Zone","Red Zone"),0),"##0%")</f>
        <v>100%</v>
      </c>
      <c r="I28" s="73" t="str">
        <f>TEXT(IFERROR(GETPIVOTDATA("% Attempts",Refresh!$A$125,"Play Type","Pass","D&amp;D","01:  1st &amp; 10+","Yard Line Zone","Red Zone"),0),"##0%")</f>
        <v>0%</v>
      </c>
      <c r="J28" s="95" t="str">
        <f>TEXT(IFERROR(GETPIVOTDATA("% Attempts",Refresh!$A$125,"Play Type","Run","D&amp;D","01:  1st &amp; 10+","Yard Line Zone","Goal Line"),0),"##0%")</f>
        <v>0%</v>
      </c>
      <c r="K28" s="68" t="str">
        <f>TEXT(IFERROR(GETPIVOTDATA("% Attempts",Refresh!$A$125,"Play Type","Pass","D&amp;D","01:  1st &amp; 10+","Yard Line Zone","Goal Line"),0),"##0%")</f>
        <v>100%</v>
      </c>
      <c r="N28" s="158"/>
      <c r="O28" s="54" t="s">
        <v>40</v>
      </c>
      <c r="P28" s="88" t="str">
        <f>TEXT(IFERROR(GETPIVOTDATA("% Attempts",Refresh!$A$111,"Boundry","Boundry"),0),"##0%")</f>
        <v>35%</v>
      </c>
    </row>
    <row r="29" spans="1:16" ht="18.75" customHeight="1" x14ac:dyDescent="0.25">
      <c r="A29" s="151"/>
      <c r="B29" s="56">
        <f>Refresh!AT129</f>
        <v>0</v>
      </c>
      <c r="C29" s="91">
        <f>Refresh!AU129</f>
        <v>0</v>
      </c>
      <c r="D29" s="42">
        <f>Refresh!AV129</f>
        <v>0</v>
      </c>
      <c r="E29" s="93">
        <f>Refresh!AW129</f>
        <v>0</v>
      </c>
      <c r="F29" s="96">
        <f>Refresh!AX129</f>
        <v>0</v>
      </c>
      <c r="G29" s="91">
        <f>Refresh!AY129</f>
        <v>0</v>
      </c>
      <c r="H29" s="92">
        <f>Refresh!AZ129</f>
        <v>0</v>
      </c>
      <c r="I29" s="93">
        <f>Refresh!BA129</f>
        <v>0</v>
      </c>
      <c r="J29" s="96">
        <f>Refresh!BB129</f>
        <v>0</v>
      </c>
      <c r="K29" s="52">
        <f>Refresh!BC129</f>
        <v>0</v>
      </c>
      <c r="N29" s="180"/>
      <c r="O29" s="45" t="s">
        <v>42</v>
      </c>
      <c r="P29" s="69" t="str">
        <f>TEXT(IFERROR(GETPIVOTDATA("Count of Attempts",Refresh!$A$111,"Boundry","Boundry"),0),"##0")&amp;"/"&amp;TEXT(IFERROR(GETPIVOTDATA("Count of Attempts",Refresh!$A$111),0),"##0")</f>
        <v>98/281</v>
      </c>
    </row>
    <row r="30" spans="1:16" ht="21" x14ac:dyDescent="0.25">
      <c r="A30" s="152" t="s">
        <v>18</v>
      </c>
      <c r="B30" s="82" t="str">
        <f>TEXT(IFERROR(GETPIVOTDATA("% Attempts",Refresh!$A$125,"Play Type","Run","D&amp;D","02:  1st &amp; &lt; 10","Yard Line Zone","0-20"),0),"##0%")</f>
        <v>0%</v>
      </c>
      <c r="C30" s="79" t="str">
        <f>TEXT(IFERROR(GETPIVOTDATA("% Attempts",Refresh!$A$125,"Play Type","Pass","D&amp;D","02:  1st &amp; &lt; 10","Yard Line Zone","0-20"),0),"##0%")</f>
        <v>0%</v>
      </c>
      <c r="D30" s="37" t="str">
        <f>TEXT(IFERROR(GETPIVOTDATA("% Attempts",Refresh!$A$125,"Play Type","Run","D&amp;D","02:  1st &amp; &lt; 10","Yard Line Zone","21-49"),0),"##0%")</f>
        <v>100%</v>
      </c>
      <c r="E30" s="81" t="str">
        <f>TEXT(IFERROR(GETPIVOTDATA("% Attempts",Refresh!$A$125,"Play Type","Pass","D&amp;D","02:  1st &amp; &lt; 10","Yard Line Zone","21-49"),0),"##0%")</f>
        <v>0%</v>
      </c>
      <c r="F30" s="80" t="str">
        <f>TEXT(IFERROR(GETPIVOTDATA("% Attempts",Refresh!$A$125,"Play Type","Run","D&amp;D","02:  1st &amp; &lt; 10","Yard Line Zone","50-21"),0),"##0%")</f>
        <v>100%</v>
      </c>
      <c r="G30" s="79" t="str">
        <f>TEXT(IFERROR(GETPIVOTDATA("% Attempts",Refresh!$A$125,"Play Type","Pass","D&amp;D","02:  1st &amp; &lt; 10","Yard Line Zone","50-21"),0),"##0%")</f>
        <v>0%</v>
      </c>
      <c r="H30" s="89" t="str">
        <f>TEXT(IFERROR(GETPIVOTDATA("% Attempts",Refresh!$A$125,"Play Type","Run","D&amp;D","02:  1st &amp; &lt; 10","Yard Line Zone","Red Zone"),0),"##0%")</f>
        <v>75%</v>
      </c>
      <c r="I30" s="81" t="str">
        <f>TEXT(IFERROR(GETPIVOTDATA("% Attempts",Refresh!$A$125,"Play Type","Pass","D&amp;D","02:  1st &amp; &lt; 10","Yard Line Zone","Red Zone"),0),"##0%")</f>
        <v>25%</v>
      </c>
      <c r="J30" s="80" t="str">
        <f>TEXT(IFERROR(GETPIVOTDATA("% Attempts",Refresh!$A$125,"Play Type","Run","D&amp;D","02:  1st &amp; &lt; 10","Yard Line Zone","Goal Line"),0),"##0%")</f>
        <v>0%</v>
      </c>
      <c r="K30" s="88" t="str">
        <f>TEXT(IFERROR(GETPIVOTDATA("% Attempts",Refresh!$A$125,"Play Type","Pass","D&amp;D","02:  1st &amp; &lt; 10","Yard Line Zone","Goal Line"),0),"##0%")</f>
        <v>0%</v>
      </c>
    </row>
    <row r="31" spans="1:16" ht="15.75" x14ac:dyDescent="0.25">
      <c r="A31" s="151"/>
      <c r="B31" s="56">
        <f>Refresh!AT130</f>
        <v>0</v>
      </c>
      <c r="C31" s="91">
        <f>Refresh!AU130</f>
        <v>0</v>
      </c>
      <c r="D31" s="42">
        <f>Refresh!AV130</f>
        <v>0</v>
      </c>
      <c r="E31" s="93">
        <f>Refresh!AW130</f>
        <v>0</v>
      </c>
      <c r="F31" s="96">
        <f>Refresh!AX130</f>
        <v>0</v>
      </c>
      <c r="G31" s="91">
        <f>Refresh!AY130</f>
        <v>0</v>
      </c>
      <c r="H31" s="92">
        <f>Refresh!AZ130</f>
        <v>0</v>
      </c>
      <c r="I31" s="93">
        <f>Refresh!BA130</f>
        <v>0</v>
      </c>
      <c r="J31" s="96">
        <f>Refresh!BB130</f>
        <v>0</v>
      </c>
      <c r="K31" s="52">
        <f>Refresh!BC130</f>
        <v>0</v>
      </c>
    </row>
    <row r="32" spans="1:16" ht="21" x14ac:dyDescent="0.25">
      <c r="A32" s="152" t="s">
        <v>21</v>
      </c>
      <c r="B32" s="82" t="str">
        <f>TEXT(IFERROR(GETPIVOTDATA("% Attempts",Refresh!$A$125,"Play Type","Run","D&amp;D","03:  2nd &amp; 8+","Yard Line Zone","0-20"),0),"##0%")</f>
        <v>71%</v>
      </c>
      <c r="C32" s="79" t="str">
        <f>TEXT(IFERROR(GETPIVOTDATA("% Attempts",Refresh!$A$125,"Play Type","Pass","D&amp;D","03:  2nd &amp; 8+","Yard Line Zone","0-20"),0),"##0%")</f>
        <v>29%</v>
      </c>
      <c r="D32" s="37" t="str">
        <f>TEXT(IFERROR(GETPIVOTDATA("% Attempts",Refresh!$A$125,"Play Type","Run","D&amp;D","03:  2nd &amp; 8+","Yard Line Zone","21-49"),0),"##0%")</f>
        <v>69%</v>
      </c>
      <c r="E32" s="81" t="str">
        <f>TEXT(IFERROR(GETPIVOTDATA("% Attempts",Refresh!$A$125,"Play Type","Pass","D&amp;D","03:  2nd &amp; 8+","Yard Line Zone","21-49"),0),"##0%")</f>
        <v>31%</v>
      </c>
      <c r="F32" s="80" t="str">
        <f>TEXT(IFERROR(GETPIVOTDATA("% Attempts",Refresh!$A$125,"Play Type","Run","D&amp;D","03:  2nd &amp; 8+","Yard Line Zone","50-21"),0),"##0%")</f>
        <v>64%</v>
      </c>
      <c r="G32" s="79" t="str">
        <f>TEXT(IFERROR(GETPIVOTDATA("% Attempts",Refresh!$A$125,"Play Type","Pass","D&amp;D","03:  2nd &amp; 8+","Yard Line Zone","50-21"),0),"##0%")</f>
        <v>36%</v>
      </c>
      <c r="H32" s="89" t="str">
        <f>TEXT(IFERROR(GETPIVOTDATA("% Attempts",Refresh!$A$125,"Play Type","Run","D&amp;D","03:  2nd &amp; 8+","Yard Line Zone","Red Zone"),0),"##0%")</f>
        <v>60%</v>
      </c>
      <c r="I32" s="81" t="str">
        <f>TEXT(IFERROR(GETPIVOTDATA("% Attempts",Refresh!$A$125,"Play Type","Pass","D&amp;D","03:  2nd &amp; 8+","Yard Line Zone","Red Zone"),0),"##0%")</f>
        <v>40%</v>
      </c>
      <c r="J32" s="80" t="str">
        <f>TEXT(IFERROR(GETPIVOTDATA("% Attempts",Refresh!$A$125,"Play Type","Run","D&amp;D","03:  2nd &amp; 8+","Yard Line Zone","Goal Line"),0),"##0%")</f>
        <v>100%</v>
      </c>
      <c r="K32" s="88" t="str">
        <f>TEXT(IFERROR(GETPIVOTDATA("% Attempts",Refresh!$A$125,"Play Type","Pass","D&amp;D","03:  2nd &amp; 8+","Yard Line Zone","Goal Line"),0),"##0%")</f>
        <v>0%</v>
      </c>
    </row>
    <row r="33" spans="1:19" ht="15.75" x14ac:dyDescent="0.25">
      <c r="A33" s="151"/>
      <c r="B33" s="56">
        <f>Refresh!AT131</f>
        <v>0</v>
      </c>
      <c r="C33" s="91">
        <f>Refresh!AU131</f>
        <v>0</v>
      </c>
      <c r="D33" s="42">
        <f>Refresh!AV131</f>
        <v>0</v>
      </c>
      <c r="E33" s="93">
        <f>Refresh!AW131</f>
        <v>0</v>
      </c>
      <c r="F33" s="96">
        <f>Refresh!AX131</f>
        <v>0</v>
      </c>
      <c r="G33" s="91">
        <f>Refresh!AY131</f>
        <v>0</v>
      </c>
      <c r="H33" s="92">
        <f>Refresh!AZ131</f>
        <v>0</v>
      </c>
      <c r="I33" s="93">
        <f>Refresh!BA131</f>
        <v>0</v>
      </c>
      <c r="J33" s="96">
        <f>Refresh!BB131</f>
        <v>0</v>
      </c>
      <c r="K33" s="52">
        <f>Refresh!BC131</f>
        <v>0</v>
      </c>
    </row>
    <row r="34" spans="1:19" ht="15.95" customHeight="1" x14ac:dyDescent="0.25">
      <c r="A34" s="152" t="s">
        <v>25</v>
      </c>
      <c r="B34" s="66" t="str">
        <f>TEXT(IFERROR(GETPIVOTDATA("% Attempts",Refresh!$A$125,"Play Type","Run","D&amp;D","04:  2nd &amp; 4 - 7","Yard Line Zone","0-20"),0),"##0%")</f>
        <v>100%</v>
      </c>
      <c r="C34" s="71" t="str">
        <f>TEXT(IFERROR(GETPIVOTDATA("% Attempts",Refresh!$A$125,"Play Type","Pass","D&amp;D","04:  2nd &amp; 4 - 7","Yard Line Zone","0-20"),0),"##0%")</f>
        <v>0%</v>
      </c>
      <c r="D34" s="120" t="str">
        <f>TEXT(IFERROR(GETPIVOTDATA("% Attempts",Refresh!$A$125,"Play Type","Run","D&amp;D","04:  2nd &amp; 4 - 7","Yard Line Zone","21-49"),0),"##0%")</f>
        <v>83%</v>
      </c>
      <c r="E34" s="73" t="str">
        <f>TEXT(IFERROR(GETPIVOTDATA("% Attempts",Refresh!$A$125,"Play Type","Pass","D&amp;D","04:  2nd &amp; 4 - 7","Yard Line Zone","21-49"),0),"##0%")</f>
        <v>17%</v>
      </c>
      <c r="F34" s="95" t="str">
        <f>TEXT(IFERROR(GETPIVOTDATA("% Attempts",Refresh!$A$125,"Play Type","Run","D&amp;D","04:  2nd &amp; 4 - 7","Yard Line Zone","50-21"),0),"##0%")</f>
        <v>100%</v>
      </c>
      <c r="G34" s="71" t="str">
        <f>TEXT(IFERROR(GETPIVOTDATA("% Attempts",Refresh!$A$125,"Play Type","Pass","D&amp;D","04:  2nd &amp; 4 - 7","Yard Line Zone","50-21"),0),"##0%")</f>
        <v>0%</v>
      </c>
      <c r="H34" s="76" t="str">
        <f>TEXT(IFERROR(GETPIVOTDATA("% Attempts",Refresh!$A$125,"Play Type","Run","D&amp;D","04:  2nd &amp; 4 - 7","Yard Line Zone","Red Zone"),0),"##0%")</f>
        <v>100%</v>
      </c>
      <c r="I34" s="73" t="str">
        <f>TEXT(IFERROR(GETPIVOTDATA("% Attempts",Refresh!$A$125,"Play Type","Pass","D&amp;D","04:  2nd &amp; 4 - 7","Yard Line Zone","Red Zone"),0),"##0%")</f>
        <v>0%</v>
      </c>
      <c r="J34" s="95" t="str">
        <f>TEXT(IFERROR(GETPIVOTDATA("% Attempts",Refresh!$A$125,"Play Type","Run","D&amp;D","04:  2nd &amp; 4 - 7","Yard Line Zone","Goal Line"),0),"##0%")</f>
        <v>0%</v>
      </c>
      <c r="K34" s="68" t="str">
        <f>TEXT(IFERROR(GETPIVOTDATA("% Attempts",Refresh!$A$125,"Play Type","Pass","D&amp;D","04:  2nd &amp; 4 - 7","Yard Line Zone","Goal Line"),0),"##0%")</f>
        <v>0%</v>
      </c>
      <c r="N34" s="114"/>
    </row>
    <row r="35" spans="1:19" ht="20.65" customHeight="1" x14ac:dyDescent="0.25">
      <c r="A35" s="151"/>
      <c r="B35" s="56">
        <f>Refresh!AT132</f>
        <v>0</v>
      </c>
      <c r="C35" s="91">
        <f>Refresh!AU132</f>
        <v>0</v>
      </c>
      <c r="D35" s="42">
        <f>Refresh!AV132</f>
        <v>0</v>
      </c>
      <c r="E35" s="93">
        <f>Refresh!AW132</f>
        <v>0</v>
      </c>
      <c r="F35" s="96">
        <f>Refresh!AX132</f>
        <v>0</v>
      </c>
      <c r="G35" s="91">
        <f>Refresh!AY132</f>
        <v>0</v>
      </c>
      <c r="H35" s="92">
        <f>Refresh!AZ132</f>
        <v>0</v>
      </c>
      <c r="I35" s="93">
        <f>Refresh!BA132</f>
        <v>0</v>
      </c>
      <c r="J35" s="96">
        <f>Refresh!BB132</f>
        <v>0</v>
      </c>
      <c r="K35" s="52">
        <f>Refresh!BC132</f>
        <v>0</v>
      </c>
      <c r="N35" s="114"/>
    </row>
    <row r="36" spans="1:19" ht="15.95" customHeight="1" x14ac:dyDescent="0.25">
      <c r="A36" s="152" t="s">
        <v>28</v>
      </c>
      <c r="B36" s="66" t="str">
        <f>TEXT(IFERROR(GETPIVOTDATA("% Attempts",Refresh!$A$125,"Play Type","Run","D&amp;D","05:  2nd &amp; &lt; 4","Yard Line Zone","0-20"),0),"##0%")</f>
        <v>0%</v>
      </c>
      <c r="C36" s="71" t="str">
        <f>TEXT(IFERROR(GETPIVOTDATA("% Attempts",Refresh!$A$125,"Play Type","Pass","D&amp;D","05:  2nd &amp; &lt; 4","Yard Line Zone","0-20"),0),"##0%")</f>
        <v>0%</v>
      </c>
      <c r="D36" s="120" t="str">
        <f>TEXT(IFERROR(GETPIVOTDATA("% Attempts",Refresh!$A$125,"Play Type","Run","D&amp;D","05:  2nd &amp; &lt; 4","Yard Line Zone","21-49"),0),"##0%")</f>
        <v>67%</v>
      </c>
      <c r="E36" s="73" t="str">
        <f>TEXT(IFERROR(GETPIVOTDATA("% Attempts",Refresh!$A$125,"Play Type","Pass","D&amp;D","05:  2nd &amp; &lt; 4","Yard Line Zone","21-49"),0),"##0%")</f>
        <v>33%</v>
      </c>
      <c r="F36" s="95" t="str">
        <f>TEXT(IFERROR(GETPIVOTDATA("% Attempts",Refresh!$A$125,"Play Type","Run","D&amp;D","05:  2nd &amp; &lt; 4","Yard Line Zone","50-21"),0),"##0%")</f>
        <v>100%</v>
      </c>
      <c r="G36" s="71" t="str">
        <f>TEXT(IFERROR(GETPIVOTDATA("% Attempts",Refresh!$A$125,"Play Type","Pass","D&amp;D","05:  2nd &amp; &lt; 4","Yard Line Zone","50-21"),0),"##0%")</f>
        <v>0%</v>
      </c>
      <c r="H36" s="76" t="str">
        <f>TEXT(IFERROR(GETPIVOTDATA("% Attempts",Refresh!$A$125,"Play Type","Run","D&amp;D","05:  2nd &amp; &lt; 4","Yard Line Zone","Red Zone"),0),"##0%")</f>
        <v>100%</v>
      </c>
      <c r="I36" s="73" t="str">
        <f>TEXT(IFERROR(GETPIVOTDATA("% Attempts",Refresh!$A$125,"Play Type","Pass","D&amp;D","05:  2nd &amp; &lt; 4","Yard Line Zone","Red Zone"),0),"##0%")</f>
        <v>0%</v>
      </c>
      <c r="J36" s="95" t="str">
        <f>TEXT(IFERROR(GETPIVOTDATA("% Attempts",Refresh!$A$125,"Play Type","Run","D&amp;D","05:  2nd &amp; &lt; 4","Yard Line Zone","Goal Line"),0),"##0%")</f>
        <v>0%</v>
      </c>
      <c r="K36" s="68" t="str">
        <f>TEXT(IFERROR(GETPIVOTDATA("% Attempts",Refresh!$A$125,"Play Type","Pass","D&amp;D","05:  2nd &amp; &lt; 4","Yard Line Zone","Goal Line"),0),"##0%")</f>
        <v>0%</v>
      </c>
      <c r="N36" s="114"/>
    </row>
    <row r="37" spans="1:19" ht="20.65" customHeight="1" x14ac:dyDescent="0.25">
      <c r="A37" s="151"/>
      <c r="B37" s="56">
        <f>Refresh!AT133</f>
        <v>0</v>
      </c>
      <c r="C37" s="91">
        <f>Refresh!AU133</f>
        <v>0</v>
      </c>
      <c r="D37" s="42">
        <f>Refresh!AV133</f>
        <v>0</v>
      </c>
      <c r="E37" s="93">
        <f>Refresh!AW133</f>
        <v>0</v>
      </c>
      <c r="F37" s="96">
        <f>Refresh!AX133</f>
        <v>0</v>
      </c>
      <c r="G37" s="91">
        <f>Refresh!AY133</f>
        <v>0</v>
      </c>
      <c r="H37" s="92">
        <f>Refresh!AZ133</f>
        <v>0</v>
      </c>
      <c r="I37" s="93">
        <f>Refresh!BA133</f>
        <v>0</v>
      </c>
      <c r="J37" s="96">
        <f>Refresh!BB133</f>
        <v>0</v>
      </c>
      <c r="K37" s="52">
        <f>Refresh!BC133</f>
        <v>0</v>
      </c>
      <c r="N37" s="114"/>
    </row>
    <row r="38" spans="1:19" ht="15.95" customHeight="1" x14ac:dyDescent="0.25">
      <c r="A38" s="152" t="s">
        <v>30</v>
      </c>
      <c r="B38" s="66" t="str">
        <f>TEXT(IFERROR(GETPIVOTDATA("% Attempts",Refresh!$A$125,"Play Type","Run","D&amp;D","06:  3rd &amp; 8+","Yard Line Zone","0-20"),0),"##0%")</f>
        <v>67%</v>
      </c>
      <c r="C38" s="71" t="str">
        <f>TEXT(IFERROR(GETPIVOTDATA("% Attempts",Refresh!$A$125,"Play Type","Pass","D&amp;D","06:  3rd &amp; 8+","Yard Line Zone","0-20"),0),"##0%")</f>
        <v>33%</v>
      </c>
      <c r="D38" s="120" t="str">
        <f>TEXT(IFERROR(GETPIVOTDATA("% Attempts",Refresh!$A$125,"Play Type","Run","D&amp;D","06:  3rd &amp; 8+","Yard Line Zone","21-49"),0),"##0%")</f>
        <v>67%</v>
      </c>
      <c r="E38" s="73" t="str">
        <f>TEXT(IFERROR(GETPIVOTDATA("% Attempts",Refresh!$A$125,"Play Type","Pass","D&amp;D","01:  1st &amp; 10+","Yard Line Zone","21-49"),0),"##0%")</f>
        <v>20%</v>
      </c>
      <c r="F38" s="95" t="str">
        <f>TEXT(IFERROR(GETPIVOTDATA("% Attempts",Refresh!$A$125,"Play Type","Run","D&amp;D","01:  1st &amp; 10+","Yard Line Zone","50-21"),0),"##0%")</f>
        <v>79%</v>
      </c>
      <c r="G38" s="71" t="str">
        <f>TEXT(IFERROR(GETPIVOTDATA("% Attempts",Refresh!$A$125,"Play Type","Pass","D&amp;D","01:  1st &amp; 10+","Yard Line Zone","50-21"),0),"##0%")</f>
        <v>21%</v>
      </c>
      <c r="H38" s="76" t="str">
        <f>TEXT(IFERROR(GETPIVOTDATA("% Attempts",Refresh!$A$125,"Play Type","Run","D&amp;D","01:  1st &amp; 10+","Yard Line Zone","Red Zone"),0),"##0%")</f>
        <v>100%</v>
      </c>
      <c r="I38" s="73" t="str">
        <f>TEXT(IFERROR(GETPIVOTDATA("% Attempts",Refresh!$A$125,"Play Type","Pass","D&amp;D","01:  1st &amp; 10+","Yard Line Zone","Red Zone"),0),"##0%")</f>
        <v>0%</v>
      </c>
      <c r="J38" s="95" t="str">
        <f>TEXT(IFERROR(GETPIVOTDATA("% Attempts",Refresh!$A$125,"Play Type","Run","D&amp;D","01:  1st &amp; 10+","Yard Line Zone","Goal Line"),0),"##0%")</f>
        <v>0%</v>
      </c>
      <c r="K38" s="68" t="str">
        <f>TEXT(IFERROR(GETPIVOTDATA("% Attempts",Refresh!$A$125,"Play Type","Pass","D&amp;D","01:  1st &amp; 10+","Yard Line Zone","Goal Line"),0),"##0%")</f>
        <v>100%</v>
      </c>
      <c r="N38" s="114"/>
    </row>
    <row r="39" spans="1:19" ht="20.65" customHeight="1" x14ac:dyDescent="0.25">
      <c r="A39" s="151"/>
      <c r="B39" s="56">
        <f>Refresh!AT134</f>
        <v>0</v>
      </c>
      <c r="C39" s="91">
        <f>Refresh!AU134</f>
        <v>0</v>
      </c>
      <c r="D39" s="42">
        <f>Refresh!AV134</f>
        <v>0</v>
      </c>
      <c r="E39" s="93">
        <f>Refresh!AW134</f>
        <v>0</v>
      </c>
      <c r="F39" s="96">
        <f>Refresh!AX134</f>
        <v>0</v>
      </c>
      <c r="G39" s="91">
        <f>Refresh!AY134</f>
        <v>0</v>
      </c>
      <c r="H39" s="92">
        <f>Refresh!AZ134</f>
        <v>0</v>
      </c>
      <c r="I39" s="93">
        <f>Refresh!BA134</f>
        <v>0</v>
      </c>
      <c r="J39" s="96">
        <f>Refresh!BB134</f>
        <v>0</v>
      </c>
      <c r="K39" s="52">
        <f>Refresh!BC134</f>
        <v>0</v>
      </c>
      <c r="N39" s="114"/>
    </row>
    <row r="40" spans="1:19" ht="15.95" customHeight="1" x14ac:dyDescent="0.25">
      <c r="A40" s="152" t="s">
        <v>32</v>
      </c>
      <c r="B40" s="66" t="str">
        <f>TEXT(IFERROR(GETPIVOTDATA("% Attempts",Refresh!$A$125,"Play Type","Run","D&amp;D","07:  3rd &amp; 4 - 7","Yard Line Zone","0-20"),0),"##0%")</f>
        <v>100%</v>
      </c>
      <c r="C40" s="71" t="str">
        <f>TEXT(IFERROR(GETPIVOTDATA("% Attempts",Refresh!$A$125,"Play Type","Pass","D&amp;D","07:  3rd &amp; 4 - 7","Yard Line Zone","0-20"),0),"##0%")</f>
        <v>0%</v>
      </c>
      <c r="D40" s="120" t="str">
        <f>TEXT(IFERROR(GETPIVOTDATA("% Attempts",Refresh!$A$125,"Play Type","Run","D&amp;D","07:  3rd &amp; 4 - 7","Yard Line Zone","21-49"),0),"##0%")</f>
        <v>67%</v>
      </c>
      <c r="E40" s="73" t="str">
        <f>TEXT(IFERROR(GETPIVOTDATA("% Attempts",Refresh!$A$125,"Play Type","Pass","D&amp;D","07:  3rd &amp; 4 - 7","Yard Line Zone","21-49"),0),"##0%")</f>
        <v>33%</v>
      </c>
      <c r="F40" s="95" t="str">
        <f>TEXT(IFERROR(GETPIVOTDATA("% Attempts",Refresh!$A$125,"Play Type","Run","D&amp;D","07:  3rd &amp; 4 - 7","Yard Line Zone","50-21"),0),"##0%")</f>
        <v>0%</v>
      </c>
      <c r="G40" s="71" t="str">
        <f>TEXT(IFERROR(GETPIVOTDATA("% Attempts",Refresh!$A$125,"Play Type","Pass","D&amp;D","07:  3rd &amp; 4 - 7","Yard Line Zone","50-21"),0),"##0%")</f>
        <v>100%</v>
      </c>
      <c r="H40" s="76" t="str">
        <f>TEXT(IFERROR(GETPIVOTDATA("% Attempts",Refresh!$A$125,"Play Type","Run","D&amp;D","07:  3rd &amp; 4 - 7","Yard Line Zone","Red Zone"),0),"##0%")</f>
        <v>100%</v>
      </c>
      <c r="I40" s="73" t="str">
        <f>TEXT(IFERROR(GETPIVOTDATA("% Attempts",Refresh!$A$125,"Play Type","Pass","D&amp;D","07:  3rd &amp; 4 - 7","Yard Line Zone","Red Zone"),0),"##0%")</f>
        <v>0%</v>
      </c>
      <c r="J40" s="95" t="str">
        <f>TEXT(IFERROR(GETPIVOTDATA("% Attempts",Refresh!$A$125,"Play Type","Run","D&amp;D","07:  3rd &amp; 4 - 7","Yard Line Zone","Goal Line"),0),"##0%")</f>
        <v>0%</v>
      </c>
      <c r="K40" s="68" t="str">
        <f>TEXT(IFERROR(GETPIVOTDATA("% Attempts",Refresh!$A$125,"Play Type","Pass","D&amp;D","07:  3rd &amp; 4 - 7","Yard Line Zone","Goal Line"),0),"##0%")</f>
        <v>0%</v>
      </c>
      <c r="N40" s="114"/>
      <c r="S40" t="s">
        <v>228</v>
      </c>
    </row>
    <row r="41" spans="1:19" ht="20.65" customHeight="1" x14ac:dyDescent="0.25">
      <c r="A41" s="151"/>
      <c r="B41" s="56">
        <f>Refresh!AT135</f>
        <v>0</v>
      </c>
      <c r="C41" s="91">
        <f>Refresh!AU135</f>
        <v>0</v>
      </c>
      <c r="D41" s="42">
        <f>Refresh!AV135</f>
        <v>0</v>
      </c>
      <c r="E41" s="93">
        <f>Refresh!AW135</f>
        <v>0</v>
      </c>
      <c r="F41" s="96">
        <f>Refresh!AX135</f>
        <v>0</v>
      </c>
      <c r="G41" s="91">
        <f>Refresh!AY135</f>
        <v>0</v>
      </c>
      <c r="H41" s="92">
        <f>Refresh!AZ135</f>
        <v>0</v>
      </c>
      <c r="I41" s="93">
        <f>Refresh!BA135</f>
        <v>0</v>
      </c>
      <c r="J41" s="96">
        <f>Refresh!BB135</f>
        <v>0</v>
      </c>
      <c r="K41" s="52">
        <f>Refresh!BC135</f>
        <v>0</v>
      </c>
      <c r="N41" s="114"/>
    </row>
    <row r="42" spans="1:19" ht="15.95" customHeight="1" x14ac:dyDescent="0.25">
      <c r="A42" s="152" t="s">
        <v>35</v>
      </c>
      <c r="B42" s="66" t="str">
        <f>TEXT(IFERROR(GETPIVOTDATA("% Attempts",Refresh!$A$125,"Play Type","Run","D&amp;D","08:  3rd &amp; &lt; 4","Yard Line Zone","0-20"),0),"##0%")</f>
        <v>0%</v>
      </c>
      <c r="C42" s="71" t="str">
        <f>TEXT(IFERROR(GETPIVOTDATA("% Attempts",Refresh!$A$125,"Play Type","Pass","D&amp;D","08:  3rd &amp; &lt; 4","Yard Line Zone","0-20"),0),"##0%")</f>
        <v>0%</v>
      </c>
      <c r="D42" s="120" t="str">
        <f>TEXT(IFERROR(GETPIVOTDATA("% Attempts",Refresh!$A$125,"Play Type","Run","D&amp;D","08:  3rd &amp; &lt; 4","Yard Line Zone","21-49"),0),"##0%")</f>
        <v>100%</v>
      </c>
      <c r="E42" s="73" t="str">
        <f>TEXT(IFERROR(GETPIVOTDATA("% Attempts",Refresh!$A$125,"Play Type","Pass","D&amp;D","08:  3rd &amp; &lt; 4","Yard Line Zone","21-49"),0),"##0%")</f>
        <v>0%</v>
      </c>
      <c r="F42" s="95" t="str">
        <f>TEXT(IFERROR(GETPIVOTDATA("% Attempts",Refresh!$A$125,"Play Type","Run","D&amp;D","08:  3rd &amp; &lt; 4","Yard Line Zone","50-21"),0),"##0%")</f>
        <v>100%</v>
      </c>
      <c r="G42" s="71" t="str">
        <f>TEXT(IFERROR(GETPIVOTDATA("% Attempts",Refresh!$A$125,"Play Type","Pass","D&amp;D","08:  3rd &amp; &lt; 4","Yard Line Zone","50-21"),0),"##0%")</f>
        <v>0%</v>
      </c>
      <c r="H42" s="76" t="str">
        <f>TEXT(IFERROR(GETPIVOTDATA("% Attempts",Refresh!$A$125,"Play Type","Run","D&amp;D","08:  3rd &amp; &lt; 4","Yard Line Zone","Red Zone"),0),"##0%")</f>
        <v>0%</v>
      </c>
      <c r="I42" s="73" t="str">
        <f>TEXT(IFERROR(GETPIVOTDATA("% Attempts",Refresh!$A$125,"Play Type","Pass","D&amp;D","08:  3rd &amp; &lt; 4","Yard Line Zone","Red Zone"),0),"##0%")</f>
        <v>0%</v>
      </c>
      <c r="J42" s="95" t="str">
        <f>TEXT(IFERROR(GETPIVOTDATA("% Attempts",Refresh!$A$125,"Play Type","Run","D&amp;D","08:  3rd &amp; &lt; 4","Yard Line Zone","Goal Line"),0),"##0%")</f>
        <v>0%</v>
      </c>
      <c r="K42" s="68" t="str">
        <f>TEXT(IFERROR(GETPIVOTDATA("% Attempts",Refresh!$A$125,"Play Type","Pass","D&amp;D","08:  3rd &amp; &lt; 4","Yard Line Zone","Goal Line"),0),"##0%")</f>
        <v>0%</v>
      </c>
      <c r="N42" s="114"/>
    </row>
    <row r="43" spans="1:19" ht="20.65" customHeight="1" x14ac:dyDescent="0.25">
      <c r="A43" s="151"/>
      <c r="B43" s="56">
        <f>Refresh!AT136</f>
        <v>0</v>
      </c>
      <c r="C43" s="91">
        <f>Refresh!AU136</f>
        <v>0</v>
      </c>
      <c r="D43" s="42">
        <f>Refresh!AV136</f>
        <v>0</v>
      </c>
      <c r="E43" s="93">
        <f>Refresh!AW136</f>
        <v>0</v>
      </c>
      <c r="F43" s="96">
        <f>Refresh!AX136</f>
        <v>0</v>
      </c>
      <c r="G43" s="91">
        <f>Refresh!AY136</f>
        <v>0</v>
      </c>
      <c r="H43" s="92">
        <f>Refresh!AZ136</f>
        <v>0</v>
      </c>
      <c r="I43" s="93">
        <f>Refresh!BA136</f>
        <v>0</v>
      </c>
      <c r="J43" s="96">
        <f>Refresh!BB136</f>
        <v>0</v>
      </c>
      <c r="K43" s="52">
        <f>Refresh!BC136</f>
        <v>0</v>
      </c>
      <c r="N43" s="114"/>
    </row>
    <row r="44" spans="1:19" ht="15.95" customHeight="1" x14ac:dyDescent="0.25">
      <c r="A44" s="152" t="s">
        <v>38</v>
      </c>
      <c r="B44" s="66" t="str">
        <f>TEXT(IFERROR(GETPIVOTDATA("% Attempts",Refresh!$A$125,"Play Type","Run","D&amp;D","09:  4th &amp; 2+","Yard Line Zone","0-20"),0),"##0%")</f>
        <v>0%</v>
      </c>
      <c r="C44" s="71" t="str">
        <f>TEXT(IFERROR(GETPIVOTDATA("% Attempts",Refresh!$A$125,"Play Type","Pass","D&amp;D","09:  4th &amp; 2+","Yard Line Zone","0-20"),0),"##0%")</f>
        <v>0%</v>
      </c>
      <c r="D44" s="120" t="str">
        <f>TEXT(IFERROR(GETPIVOTDATA("% Attempts",Refresh!$A$125,"Play Type","Run","D&amp;D","09:  4th &amp; 2+","Yard Line Zone","21-49"),0),"##0%")</f>
        <v>50%</v>
      </c>
      <c r="E44" s="73" t="str">
        <f>TEXT(IFERROR(GETPIVOTDATA("% Attempts",Refresh!$A$125,"Play Type","Pass","D&amp;D","09:  4th &amp; 2+","Yard Line Zone","21-49"),0),"##0%")</f>
        <v>50%</v>
      </c>
      <c r="F44" s="95" t="str">
        <f>TEXT(IFERROR(GETPIVOTDATA("% Attempts",Refresh!$A$125,"Play Type","Run","D&amp;D","09:  4th &amp; 2+","Yard Line Zone","50-21"),0),"##0%")</f>
        <v>0%</v>
      </c>
      <c r="G44" s="71" t="str">
        <f>TEXT(IFERROR(GETPIVOTDATA("% Attempts",Refresh!$A$125,"Play Type","Pass","D&amp;D","09:  4th &amp; 2+","Yard Line Zone","50-21"),0),"##0%")</f>
        <v>100%</v>
      </c>
      <c r="H44" s="76" t="str">
        <f>TEXT(IFERROR(GETPIVOTDATA("% Attempts",Refresh!$A$125,"Play Type","Run","D&amp;D","09:  4th &amp; 2+","Yard Line Zone","Red Zone"),0),"##0%")</f>
        <v>100%</v>
      </c>
      <c r="I44" s="73" t="str">
        <f>TEXT(IFERROR(GETPIVOTDATA("% Attempts",Refresh!$A$125,"Play Type","Pass","D&amp;D","09:  4th &amp; 2+","Yard Line Zone","Red Zone"),0),"##0%")</f>
        <v>0%</v>
      </c>
      <c r="J44" s="95" t="str">
        <f>TEXT(IFERROR(GETPIVOTDATA("% Attempts",Refresh!$A$125,"Play Type","Run","D&amp;D","09:  4th &amp; 2+","Yard Line Zone","Goal Line"),0),"##0%")</f>
        <v>0%</v>
      </c>
      <c r="K44" s="68" t="str">
        <f>TEXT(IFERROR(GETPIVOTDATA("% Attempts",Refresh!$A$125,"Play Type","Pass","D&amp;D","09:  4th &amp; 2+","Yard Line Zone","Goal Line"),0),"##0%")</f>
        <v>0%</v>
      </c>
    </row>
    <row r="45" spans="1:19" ht="20.65" customHeight="1" x14ac:dyDescent="0.25">
      <c r="A45" s="151"/>
      <c r="B45" s="56">
        <f>Refresh!AT137</f>
        <v>0</v>
      </c>
      <c r="C45" s="91">
        <f>Refresh!AU137</f>
        <v>0</v>
      </c>
      <c r="D45" s="42">
        <f>Refresh!AV137</f>
        <v>0</v>
      </c>
      <c r="E45" s="93">
        <f>Refresh!AW137</f>
        <v>0</v>
      </c>
      <c r="F45" s="96">
        <f>Refresh!AX137</f>
        <v>0</v>
      </c>
      <c r="G45" s="91">
        <f>Refresh!AY137</f>
        <v>0</v>
      </c>
      <c r="H45" s="92">
        <f>Refresh!AZ137</f>
        <v>0</v>
      </c>
      <c r="I45" s="93">
        <f>Refresh!BA137</f>
        <v>0</v>
      </c>
      <c r="J45" s="96">
        <f>Refresh!BB137</f>
        <v>0</v>
      </c>
      <c r="K45" s="52">
        <f>Refresh!BC137</f>
        <v>0</v>
      </c>
    </row>
    <row r="46" spans="1:19" ht="15.95" customHeight="1" x14ac:dyDescent="0.25">
      <c r="A46" s="152" t="s">
        <v>41</v>
      </c>
      <c r="B46" s="66" t="str">
        <f>TEXT(IFERROR(GETPIVOTDATA("% Attempts",Refresh!$A$125,"Play Type","Run","D&amp;D","10:  4th &amp; &lt; 2","Yard Line Zone","0-20"),0),"##0%")</f>
        <v>0%</v>
      </c>
      <c r="C46" s="71" t="str">
        <f>TEXT(IFERROR(GETPIVOTDATA("% Attempts",Refresh!$A$125,"Play Type","Pass","D&amp;D","10:  4th &amp; &lt; 2","Yard Line Zone","0-20"),0),"##0%")</f>
        <v>0%</v>
      </c>
      <c r="D46" s="120" t="str">
        <f>TEXT(IFERROR(GETPIVOTDATA("% Attempts",Refresh!$A$125,"Play Type","Run","D&amp;D","10:  4th &amp; &lt; 2","Yard Line Zone","21-49"),0),"##0%")</f>
        <v>0%</v>
      </c>
      <c r="E46" s="73" t="str">
        <f>TEXT(IFERROR(GETPIVOTDATA("% Attempts",Refresh!$A$125,"Play Type","Pass","D&amp;D","10:  4th &amp; &lt; 2","Yard Line Zone","21-49"),0),"##0%")</f>
        <v>0%</v>
      </c>
      <c r="F46" s="95" t="str">
        <f>TEXT(IFERROR(GETPIVOTDATA("% Attempts",Refresh!$A$125,"Play Type","Run","D&amp;D","10:  4th &amp; &lt; 2","Yard Line Zone","50-21"),0),"##0%")</f>
        <v>0%</v>
      </c>
      <c r="G46" s="71" t="str">
        <f>TEXT(IFERROR(GETPIVOTDATA("% Attempts",Refresh!$A$125,"Play Type","Pass","D&amp;D","10:  4th &amp; &lt; 2","Yard Line Zone","50-21"),0),"##0%")</f>
        <v>0%</v>
      </c>
      <c r="H46" s="76" t="str">
        <f>TEXT(IFERROR(GETPIVOTDATA("% Attempts",Refresh!$A$125,"Play Type","Run","D&amp;D","10:  4th &amp; &lt; 2","Yard Line Zone","Red Zone"),0),"##0%")</f>
        <v>0%</v>
      </c>
      <c r="I46" s="73" t="str">
        <f>TEXT(IFERROR(GETPIVOTDATA("% Attempts",Refresh!$A$125,"Play Type","Pass","D&amp;D","10:  4th &amp; &lt; 2","Yard Line Zone","Red Zone"),0),"##0%")</f>
        <v>0%</v>
      </c>
      <c r="J46" s="95" t="str">
        <f>TEXT(IFERROR(GETPIVOTDATA("% Attempts",Refresh!$A$125,"Play Type","Run","D&amp;D","10:  4th &amp; &lt; 2","Yard Line Zone","Goal Line"),0),"##0%")</f>
        <v>0%</v>
      </c>
      <c r="K46" s="68" t="str">
        <f>TEXT(IFERROR(GETPIVOTDATA("% Attempts",Refresh!$A$125,"Play Type","Pass","D&amp;D","10:  4th &amp; &lt; 2","Yard Line Zone","Goal Line"),0),"##0%")</f>
        <v>0%</v>
      </c>
    </row>
    <row r="47" spans="1:19" ht="16.5" thickBot="1" x14ac:dyDescent="0.3">
      <c r="A47" s="167"/>
      <c r="B47" s="102">
        <f>Refresh!AT138</f>
        <v>0</v>
      </c>
      <c r="C47" s="103">
        <f>Refresh!AU138</f>
        <v>0</v>
      </c>
      <c r="D47" s="121">
        <f>Refresh!AV138</f>
        <v>0</v>
      </c>
      <c r="E47" s="105">
        <f>Refresh!AW138</f>
        <v>0</v>
      </c>
      <c r="F47" s="106">
        <f>Refresh!AX138</f>
        <v>0</v>
      </c>
      <c r="G47" s="103">
        <f>Refresh!AY138</f>
        <v>0</v>
      </c>
      <c r="H47" s="104">
        <f>Refresh!AZ138</f>
        <v>0</v>
      </c>
      <c r="I47" s="105">
        <f>Refresh!BA138</f>
        <v>0</v>
      </c>
      <c r="J47" s="106">
        <f>Refresh!BB138</f>
        <v>0</v>
      </c>
      <c r="K47" s="107">
        <f>Refresh!BC138</f>
        <v>0</v>
      </c>
    </row>
    <row r="48" spans="1:19" ht="15.95" customHeight="1" thickTop="1" x14ac:dyDescent="0.25">
      <c r="A48" s="166" t="s">
        <v>47</v>
      </c>
      <c r="B48" s="82" t="str">
        <f>TEXT(IFERROR(GETPIVOTDATA("% Attempts",Refresh!$A$125,"Play Type","Run","Yard Line Zone","0-20"),0),"##0%")</f>
        <v>67%</v>
      </c>
      <c r="C48" s="79" t="str">
        <f>TEXT(IFERROR(GETPIVOTDATA("% Attempts",Refresh!$A$125,"Play Type","Pass","Yard Line Zone","0-20"),0),"##0%")</f>
        <v>33%</v>
      </c>
      <c r="D48" s="37" t="str">
        <f>TEXT(IFERROR(GETPIVOTDATA("% Attempts",Refresh!$A$125,"Play Type","Run","Yard Line Zone","21-49"),0),"##0%")</f>
        <v>71%</v>
      </c>
      <c r="E48" s="81" t="str">
        <f>TEXT(IFERROR(GETPIVOTDATA("% Attempts",Refresh!$A$125,"Play Type","Pass","Yard Line Zone","21-49"),0),"##0%")</f>
        <v>29%</v>
      </c>
      <c r="F48" s="80" t="str">
        <f>TEXT(IFERROR(GETPIVOTDATA("% Attempts",Refresh!$A$125,"Play Type","Run","Yard Line Zone","50-21"),0),"##0%")</f>
        <v>69%</v>
      </c>
      <c r="G48" s="79" t="str">
        <f>TEXT(IFERROR(GETPIVOTDATA("% Attempts",Refresh!$A$125,"Play Type","Pass","Yard Line Zone","50-21"),0),"##0%")</f>
        <v>31%</v>
      </c>
      <c r="H48" s="89" t="str">
        <f>TEXT(IFERROR(GETPIVOTDATA("% Attempts",Refresh!$A$125,"Play Type","Run","Yard Line Zone","Red Zone"),0),"##0%")</f>
        <v>85%</v>
      </c>
      <c r="I48" s="81" t="str">
        <f>TEXT(IFERROR(GETPIVOTDATA("% Attempts",Refresh!$A$125,"Play Type","Pass","Yard Line Zone","Red Zone"),0),"##0%")</f>
        <v>15%</v>
      </c>
      <c r="J48" s="80" t="str">
        <f>TEXT(IFERROR(GETPIVOTDATA("% Attempts",Refresh!$A$125,"Play Type","Run","Yard Line Zone","Goal Line"),0),"##0%")</f>
        <v>83%</v>
      </c>
      <c r="K48" s="88" t="str">
        <f>TEXT(IFERROR(GETPIVOTDATA("% Attempts",Refresh!$A$125,"Play Type","Pass","Yard Line Zone","Goal Line"),0),"##0%")</f>
        <v>17%</v>
      </c>
    </row>
    <row r="49" spans="1:11" ht="15.75" x14ac:dyDescent="0.25">
      <c r="A49" s="166"/>
      <c r="B49" s="67">
        <f>Refresh!AT139</f>
        <v>0</v>
      </c>
      <c r="C49" s="72">
        <f>Refresh!AU139</f>
        <v>0</v>
      </c>
      <c r="D49" s="39">
        <f>Refresh!AV139</f>
        <v>0</v>
      </c>
      <c r="E49" s="74">
        <f>Refresh!AW139</f>
        <v>0</v>
      </c>
      <c r="F49" s="97">
        <f>Refresh!AX139</f>
        <v>0</v>
      </c>
      <c r="G49" s="72">
        <f>Refresh!AY139</f>
        <v>0</v>
      </c>
      <c r="H49" s="77">
        <f>Refresh!AZ139</f>
        <v>0</v>
      </c>
      <c r="I49" s="74">
        <f>Refresh!BA139</f>
        <v>0</v>
      </c>
      <c r="J49" s="97">
        <f>Refresh!BB139</f>
        <v>0</v>
      </c>
      <c r="K49" s="69">
        <f>Refresh!BC139</f>
        <v>0</v>
      </c>
    </row>
    <row r="50" spans="1:11" ht="15.95" customHeight="1" x14ac:dyDescent="0.25"/>
    <row r="52" spans="1:11" ht="15.95" customHeight="1" x14ac:dyDescent="0.25"/>
    <row r="54" spans="1:11" ht="15.95" customHeight="1" x14ac:dyDescent="0.25"/>
  </sheetData>
  <mergeCells count="63">
    <mergeCell ref="N26:N29"/>
    <mergeCell ref="F9:F10"/>
    <mergeCell ref="F5:F6"/>
    <mergeCell ref="F7:F8"/>
    <mergeCell ref="F11:F12"/>
    <mergeCell ref="J17:J18"/>
    <mergeCell ref="J19:J20"/>
    <mergeCell ref="J21:J22"/>
    <mergeCell ref="J15:J16"/>
    <mergeCell ref="J5:J6"/>
    <mergeCell ref="J7:J8"/>
    <mergeCell ref="J9:J10"/>
    <mergeCell ref="J11:J12"/>
    <mergeCell ref="J13:J14"/>
    <mergeCell ref="N11:N12"/>
    <mergeCell ref="F26:G26"/>
    <mergeCell ref="N22:N25"/>
    <mergeCell ref="A3:A4"/>
    <mergeCell ref="C3:C4"/>
    <mergeCell ref="D3:D4"/>
    <mergeCell ref="A5:A6"/>
    <mergeCell ref="C5:C6"/>
    <mergeCell ref="D5:D6"/>
    <mergeCell ref="J3:J4"/>
    <mergeCell ref="N5:N6"/>
    <mergeCell ref="N7:N8"/>
    <mergeCell ref="N9:N10"/>
    <mergeCell ref="N3:N4"/>
    <mergeCell ref="C17:C18"/>
    <mergeCell ref="D17:D18"/>
    <mergeCell ref="C11:C12"/>
    <mergeCell ref="D11:D12"/>
    <mergeCell ref="A48:A49"/>
    <mergeCell ref="A46:A47"/>
    <mergeCell ref="D19:D20"/>
    <mergeCell ref="C21:C22"/>
    <mergeCell ref="D21:D22"/>
    <mergeCell ref="B26:C26"/>
    <mergeCell ref="D26:E26"/>
    <mergeCell ref="A34:A35"/>
    <mergeCell ref="A36:A37"/>
    <mergeCell ref="A38:A39"/>
    <mergeCell ref="A40:A41"/>
    <mergeCell ref="A42:A43"/>
    <mergeCell ref="A44:A45"/>
    <mergeCell ref="A19:A20"/>
    <mergeCell ref="A21:A22"/>
    <mergeCell ref="C19:C20"/>
    <mergeCell ref="D13:D14"/>
    <mergeCell ref="D15:D16"/>
    <mergeCell ref="F3:F4"/>
    <mergeCell ref="N18:N21"/>
    <mergeCell ref="A11:A12"/>
    <mergeCell ref="A13:A14"/>
    <mergeCell ref="A15:A16"/>
    <mergeCell ref="A17:A18"/>
    <mergeCell ref="C13:C14"/>
    <mergeCell ref="C15:C16"/>
    <mergeCell ref="H26:I26"/>
    <mergeCell ref="J26:K26"/>
    <mergeCell ref="A28:A29"/>
    <mergeCell ref="A30:A31"/>
    <mergeCell ref="A32:A33"/>
  </mergeCells>
  <printOptions horizontalCentered="1" verticalCentered="1"/>
  <pageMargins left="0.25" right="0.25" top="0.75" bottom="0.75" header="0" footer="0.3"/>
  <pageSetup scale="54" orientation="landscape" r:id="rId1"/>
  <headerFooter>
    <oddHeader>&amp;L&amp;"-,Bold"&amp;22&amp;K05+000 2017 RHS Football
&amp;"-,Bold Italic"&amp;16Ridgefield vs Danbury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>
    <tabColor rgb="FFFFFF00"/>
    <pageSetUpPr fitToPage="1"/>
  </sheetPr>
  <dimension ref="A1:Y392"/>
  <sheetViews>
    <sheetView zoomScaleNormal="100" workbookViewId="0">
      <selection activeCell="W282" sqref="W282:W392"/>
    </sheetView>
  </sheetViews>
  <sheetFormatPr defaultRowHeight="15" x14ac:dyDescent="0.25"/>
  <cols>
    <col min="1" max="1" width="7.140625" style="17" customWidth="1"/>
    <col min="2" max="2" width="7.140625" style="17" hidden="1" customWidth="1"/>
    <col min="3" max="3" width="9" style="17" customWidth="1"/>
    <col min="4" max="4" width="11.7109375" style="17" customWidth="1"/>
    <col min="5" max="5" width="12.42578125" style="17" customWidth="1"/>
    <col min="6" max="6" width="9.140625" customWidth="1"/>
    <col min="7" max="7" width="13.140625" style="17" customWidth="1"/>
    <col min="8" max="9" width="12.42578125" style="17" hidden="1" customWidth="1"/>
    <col min="10" max="16" width="15.42578125" style="17" customWidth="1"/>
    <col min="17" max="19" width="12.42578125" style="17" customWidth="1"/>
    <col min="20" max="20" width="12.42578125" style="17" hidden="1" customWidth="1"/>
    <col min="21" max="21" width="12.42578125" style="17" customWidth="1"/>
    <col min="22" max="22" width="12.42578125" style="17" hidden="1" customWidth="1"/>
    <col min="23" max="23" width="17.5703125" style="17" customWidth="1"/>
    <col min="25" max="25" width="8.5703125" style="17" customWidth="1"/>
    <col min="27" max="27" width="12.28515625" customWidth="1"/>
    <col min="28" max="28" width="13.140625" customWidth="1"/>
    <col min="29" max="29" width="9.7109375" customWidth="1"/>
    <col min="30" max="30" width="4.5703125" customWidth="1"/>
    <col min="31" max="32" width="9.85546875" customWidth="1"/>
    <col min="33" max="33" width="4.5703125" customWidth="1"/>
    <col min="34" max="35" width="9.85546875" customWidth="1"/>
    <col min="36" max="36" width="4.5703125" customWidth="1"/>
    <col min="37" max="38" width="14.5703125" customWidth="1"/>
    <col min="39" max="39" width="9.140625" customWidth="1"/>
    <col min="40" max="41" width="14.28515625" bestFit="1" customWidth="1"/>
    <col min="42" max="42" width="16" bestFit="1" customWidth="1"/>
  </cols>
  <sheetData>
    <row r="1" spans="1:25" ht="18.75" x14ac:dyDescent="0.25">
      <c r="A1" s="26" t="s">
        <v>48</v>
      </c>
      <c r="B1" s="26" t="s">
        <v>49</v>
      </c>
      <c r="C1" s="27" t="s">
        <v>6</v>
      </c>
      <c r="D1" s="27" t="s">
        <v>50</v>
      </c>
      <c r="E1" s="27" t="s">
        <v>51</v>
      </c>
      <c r="F1" s="27" t="s">
        <v>52</v>
      </c>
      <c r="G1" s="27" t="s">
        <v>53</v>
      </c>
      <c r="H1" s="27" t="s">
        <v>23</v>
      </c>
      <c r="I1" s="27" t="s">
        <v>54</v>
      </c>
      <c r="J1" s="27" t="s">
        <v>55</v>
      </c>
      <c r="K1" s="27" t="s">
        <v>56</v>
      </c>
      <c r="L1" s="27" t="s">
        <v>57</v>
      </c>
      <c r="M1" s="27" t="s">
        <v>9</v>
      </c>
      <c r="N1" s="27" t="s">
        <v>58</v>
      </c>
      <c r="O1" s="27" t="s">
        <v>59</v>
      </c>
      <c r="P1" s="28" t="s">
        <v>10</v>
      </c>
      <c r="Q1" s="28" t="s">
        <v>60</v>
      </c>
      <c r="R1" s="28" t="s">
        <v>61</v>
      </c>
      <c r="S1" s="28" t="s">
        <v>62</v>
      </c>
      <c r="T1" s="28" t="s">
        <v>63</v>
      </c>
      <c r="U1" s="28" t="s">
        <v>40</v>
      </c>
      <c r="V1" s="28" t="s">
        <v>64</v>
      </c>
      <c r="W1" s="27" t="s">
        <v>65</v>
      </c>
    </row>
    <row r="2" spans="1:25" x14ac:dyDescent="0.25">
      <c r="A2" s="29"/>
      <c r="B2" s="29"/>
      <c r="C2" s="30"/>
      <c r="D2" s="30"/>
      <c r="E2" s="30"/>
      <c r="F2" s="30">
        <f>MOD(Table11[[#This Row],[Yard Line]],100)-MOD(E3,100)</f>
        <v>0</v>
      </c>
      <c r="G2" s="30"/>
      <c r="H2" s="30"/>
      <c r="I2" s="30"/>
      <c r="J2" s="30" t="s">
        <v>13</v>
      </c>
      <c r="K2" s="30" t="s">
        <v>66</v>
      </c>
      <c r="L2" s="30"/>
      <c r="M2" s="30">
        <v>0</v>
      </c>
      <c r="N2" s="30">
        <v>0</v>
      </c>
      <c r="O2" s="30" t="s">
        <v>67</v>
      </c>
      <c r="P2" s="31">
        <v>0</v>
      </c>
      <c r="Q2" s="31">
        <v>2.5</v>
      </c>
      <c r="R2" s="31" t="s">
        <v>3</v>
      </c>
      <c r="S2" s="31">
        <v>0.5</v>
      </c>
      <c r="T2" s="31" t="s">
        <v>68</v>
      </c>
      <c r="U2" s="31" t="s">
        <v>68</v>
      </c>
      <c r="V2" s="31" t="s">
        <v>69</v>
      </c>
      <c r="W2" s="30" t="s">
        <v>29</v>
      </c>
    </row>
    <row r="3" spans="1:25" x14ac:dyDescent="0.25">
      <c r="A3" s="29"/>
      <c r="B3" s="29"/>
      <c r="C3" s="30"/>
      <c r="D3" s="30"/>
      <c r="E3" s="30"/>
      <c r="F3" s="30">
        <f>MOD(Table11[[#This Row],[Yard Line]],100)-MOD(E4,100)</f>
        <v>0</v>
      </c>
      <c r="G3" s="30"/>
      <c r="H3" s="30"/>
      <c r="I3" s="30"/>
      <c r="J3" s="30" t="s">
        <v>13</v>
      </c>
      <c r="K3" s="30" t="s">
        <v>66</v>
      </c>
      <c r="L3" s="30"/>
      <c r="M3" s="30">
        <v>0</v>
      </c>
      <c r="N3" s="30">
        <v>0</v>
      </c>
      <c r="O3" s="30" t="s">
        <v>70</v>
      </c>
      <c r="P3" s="31">
        <v>0</v>
      </c>
      <c r="Q3" s="31">
        <v>2.5</v>
      </c>
      <c r="R3" s="31" t="s">
        <v>3</v>
      </c>
      <c r="S3" s="31">
        <v>1.5</v>
      </c>
      <c r="T3" s="31" t="s">
        <v>68</v>
      </c>
      <c r="U3" s="31" t="s">
        <v>68</v>
      </c>
      <c r="V3" s="31" t="s">
        <v>69</v>
      </c>
      <c r="W3" s="30" t="s">
        <v>29</v>
      </c>
    </row>
    <row r="4" spans="1:25" x14ac:dyDescent="0.25">
      <c r="A4" s="29"/>
      <c r="B4" s="29"/>
      <c r="C4" s="30"/>
      <c r="D4" s="30"/>
      <c r="E4" s="30"/>
      <c r="F4" s="30">
        <f>MOD(Table11[[#This Row],[Yard Line]],100)-MOD(E5,100)</f>
        <v>0</v>
      </c>
      <c r="G4" s="30"/>
      <c r="H4" s="30"/>
      <c r="I4" s="30"/>
      <c r="J4" s="30" t="s">
        <v>13</v>
      </c>
      <c r="K4" s="30" t="s">
        <v>66</v>
      </c>
      <c r="L4" s="30"/>
      <c r="M4" s="30">
        <v>0</v>
      </c>
      <c r="N4" s="30">
        <v>0</v>
      </c>
      <c r="O4" s="30" t="s">
        <v>71</v>
      </c>
      <c r="P4" s="31">
        <v>0</v>
      </c>
      <c r="Q4" s="31">
        <v>2.5</v>
      </c>
      <c r="R4" s="31" t="s">
        <v>3</v>
      </c>
      <c r="S4" s="31">
        <v>2.5</v>
      </c>
      <c r="T4" s="31" t="s">
        <v>68</v>
      </c>
      <c r="U4" s="31" t="s">
        <v>68</v>
      </c>
      <c r="V4" s="31" t="s">
        <v>69</v>
      </c>
      <c r="W4" s="30" t="s">
        <v>29</v>
      </c>
    </row>
    <row r="5" spans="1:25" x14ac:dyDescent="0.25">
      <c r="A5" s="29"/>
      <c r="B5" s="29"/>
      <c r="C5" s="30"/>
      <c r="D5" s="30"/>
      <c r="E5" s="30"/>
      <c r="F5" s="30">
        <f>MOD(Table11[[#This Row],[Yard Line]],100)-MOD(E6,100)</f>
        <v>0</v>
      </c>
      <c r="G5" s="30"/>
      <c r="H5" s="30"/>
      <c r="I5" s="30"/>
      <c r="J5" s="30" t="s">
        <v>13</v>
      </c>
      <c r="K5" s="30" t="s">
        <v>72</v>
      </c>
      <c r="L5" s="30"/>
      <c r="M5" s="30">
        <v>0</v>
      </c>
      <c r="N5" s="30">
        <v>0</v>
      </c>
      <c r="O5" s="30" t="s">
        <v>67</v>
      </c>
      <c r="P5" s="31">
        <v>0</v>
      </c>
      <c r="Q5" s="31">
        <v>0.5</v>
      </c>
      <c r="R5" s="31" t="s">
        <v>1</v>
      </c>
      <c r="S5" s="31">
        <v>0.5</v>
      </c>
      <c r="T5" s="31" t="s">
        <v>68</v>
      </c>
      <c r="U5" s="31" t="s">
        <v>68</v>
      </c>
      <c r="V5" s="31" t="s">
        <v>69</v>
      </c>
      <c r="W5" s="30" t="s">
        <v>29</v>
      </c>
      <c r="X5" s="3"/>
    </row>
    <row r="6" spans="1:25" x14ac:dyDescent="0.25">
      <c r="A6" s="29"/>
      <c r="B6" s="29"/>
      <c r="C6" s="30"/>
      <c r="D6" s="30"/>
      <c r="E6" s="30"/>
      <c r="F6" s="30">
        <f>MOD(Table11[[#This Row],[Yard Line]],100)-MOD(E7,100)</f>
        <v>0</v>
      </c>
      <c r="G6" s="30"/>
      <c r="H6" s="30"/>
      <c r="I6" s="30"/>
      <c r="J6" s="30" t="s">
        <v>13</v>
      </c>
      <c r="K6" s="30" t="s">
        <v>72</v>
      </c>
      <c r="L6" s="30"/>
      <c r="M6" s="30">
        <v>0</v>
      </c>
      <c r="N6" s="30">
        <v>0</v>
      </c>
      <c r="O6" s="30" t="s">
        <v>70</v>
      </c>
      <c r="P6" s="31">
        <v>0</v>
      </c>
      <c r="Q6" s="31">
        <v>0.5</v>
      </c>
      <c r="R6" s="31" t="s">
        <v>1</v>
      </c>
      <c r="S6" s="31">
        <v>1.5</v>
      </c>
      <c r="T6" s="31" t="s">
        <v>68</v>
      </c>
      <c r="U6" s="31" t="s">
        <v>68</v>
      </c>
      <c r="V6" s="31" t="s">
        <v>69</v>
      </c>
      <c r="W6" s="30" t="s">
        <v>29</v>
      </c>
      <c r="X6" s="4"/>
    </row>
    <row r="7" spans="1:25" x14ac:dyDescent="0.25">
      <c r="A7" s="29"/>
      <c r="B7" s="29"/>
      <c r="C7" s="30"/>
      <c r="D7" s="30"/>
      <c r="E7" s="30"/>
      <c r="F7" s="30">
        <f>MOD(Table11[[#This Row],[Yard Line]],100)-MOD(E8,100)</f>
        <v>0</v>
      </c>
      <c r="G7" s="30"/>
      <c r="H7" s="30"/>
      <c r="I7" s="30"/>
      <c r="J7" s="30" t="s">
        <v>13</v>
      </c>
      <c r="K7" s="30" t="s">
        <v>72</v>
      </c>
      <c r="L7" s="30"/>
      <c r="M7" s="30">
        <v>0</v>
      </c>
      <c r="N7" s="30">
        <v>0</v>
      </c>
      <c r="O7" s="30" t="s">
        <v>71</v>
      </c>
      <c r="P7" s="31">
        <v>0</v>
      </c>
      <c r="Q7" s="31">
        <v>0.5</v>
      </c>
      <c r="R7" s="31" t="s">
        <v>1</v>
      </c>
      <c r="S7" s="31">
        <v>2.5</v>
      </c>
      <c r="T7" s="31" t="s">
        <v>68</v>
      </c>
      <c r="U7" s="31" t="s">
        <v>68</v>
      </c>
      <c r="V7" s="31" t="s">
        <v>69</v>
      </c>
      <c r="W7" s="30" t="s">
        <v>29</v>
      </c>
      <c r="X7" s="4"/>
    </row>
    <row r="8" spans="1:25" x14ac:dyDescent="0.25">
      <c r="A8" s="29"/>
      <c r="B8" s="29"/>
      <c r="C8" s="30"/>
      <c r="D8" s="30"/>
      <c r="E8" s="30"/>
      <c r="F8" s="30">
        <f>MOD(Table11[[#This Row],[Yard Line]],100)-MOD(E9,100)</f>
        <v>0</v>
      </c>
      <c r="G8" s="30"/>
      <c r="H8" s="30"/>
      <c r="I8" s="30"/>
      <c r="J8" s="30" t="s">
        <v>13</v>
      </c>
      <c r="K8" s="30" t="s">
        <v>70</v>
      </c>
      <c r="L8" s="30"/>
      <c r="M8" s="30">
        <v>0</v>
      </c>
      <c r="N8" s="30">
        <v>0</v>
      </c>
      <c r="O8" s="30" t="s">
        <v>67</v>
      </c>
      <c r="P8" s="31">
        <v>0</v>
      </c>
      <c r="Q8" s="31">
        <v>1.5</v>
      </c>
      <c r="R8" s="31" t="s">
        <v>2</v>
      </c>
      <c r="S8" s="31">
        <v>0.5</v>
      </c>
      <c r="T8" s="31" t="s">
        <v>68</v>
      </c>
      <c r="U8" s="31" t="s">
        <v>68</v>
      </c>
      <c r="V8" s="31" t="s">
        <v>69</v>
      </c>
      <c r="W8" s="30" t="s">
        <v>29</v>
      </c>
      <c r="X8" s="4"/>
    </row>
    <row r="9" spans="1:25" x14ac:dyDescent="0.25">
      <c r="A9" s="29"/>
      <c r="B9" s="29"/>
      <c r="C9" s="30"/>
      <c r="D9" s="30"/>
      <c r="E9" s="30"/>
      <c r="F9" s="30">
        <f>MOD(Table11[[#This Row],[Yard Line]],100)-MOD(E10,100)</f>
        <v>0</v>
      </c>
      <c r="G9" s="30"/>
      <c r="H9" s="30"/>
      <c r="I9" s="30"/>
      <c r="J9" s="30" t="s">
        <v>13</v>
      </c>
      <c r="K9" s="30" t="s">
        <v>70</v>
      </c>
      <c r="L9" s="30"/>
      <c r="M9" s="30">
        <v>0</v>
      </c>
      <c r="N9" s="30">
        <v>0</v>
      </c>
      <c r="O9" s="30" t="s">
        <v>70</v>
      </c>
      <c r="P9" s="31">
        <v>0</v>
      </c>
      <c r="Q9" s="31">
        <v>1.5</v>
      </c>
      <c r="R9" s="31" t="s">
        <v>2</v>
      </c>
      <c r="S9" s="31">
        <v>1.5</v>
      </c>
      <c r="T9" s="31" t="s">
        <v>68</v>
      </c>
      <c r="U9" s="31" t="s">
        <v>68</v>
      </c>
      <c r="V9" s="31" t="s">
        <v>69</v>
      </c>
      <c r="W9" s="30" t="s">
        <v>29</v>
      </c>
      <c r="X9" s="4"/>
    </row>
    <row r="10" spans="1:25" x14ac:dyDescent="0.25">
      <c r="A10" s="29"/>
      <c r="B10" s="29"/>
      <c r="C10" s="30"/>
      <c r="D10" s="30"/>
      <c r="E10" s="30"/>
      <c r="F10" s="30">
        <f>MOD(Table11[[#This Row],[Yard Line]],100)-MOD(E11,100)</f>
        <v>0</v>
      </c>
      <c r="G10" s="30"/>
      <c r="H10" s="30"/>
      <c r="I10" s="30"/>
      <c r="J10" s="30" t="s">
        <v>13</v>
      </c>
      <c r="K10" s="30" t="s">
        <v>70</v>
      </c>
      <c r="L10" s="30"/>
      <c r="M10" s="30">
        <v>0</v>
      </c>
      <c r="N10" s="30">
        <v>0</v>
      </c>
      <c r="O10" s="30" t="s">
        <v>67</v>
      </c>
      <c r="P10" s="31">
        <v>0</v>
      </c>
      <c r="Q10" s="31">
        <v>1.5</v>
      </c>
      <c r="R10" s="31" t="s">
        <v>2</v>
      </c>
      <c r="S10" s="31">
        <v>0.5</v>
      </c>
      <c r="T10" s="31" t="s">
        <v>68</v>
      </c>
      <c r="U10" s="31" t="s">
        <v>68</v>
      </c>
      <c r="V10" s="31" t="s">
        <v>69</v>
      </c>
      <c r="W10" s="30" t="s">
        <v>29</v>
      </c>
      <c r="X10" s="4"/>
      <c r="Y10"/>
    </row>
    <row r="11" spans="1:25" x14ac:dyDescent="0.25">
      <c r="A11" s="29"/>
      <c r="B11" s="29"/>
      <c r="C11" s="30"/>
      <c r="D11" s="30"/>
      <c r="E11" s="30"/>
      <c r="F11" s="30">
        <f>MOD(Table11[[#This Row],[Yard Line]],100)-MOD(E12,100)</f>
        <v>0</v>
      </c>
      <c r="G11" s="30"/>
      <c r="H11" s="30"/>
      <c r="I11" s="30"/>
      <c r="J11" s="30" t="s">
        <v>12</v>
      </c>
      <c r="K11" s="30" t="s">
        <v>66</v>
      </c>
      <c r="L11" s="30" t="s">
        <v>73</v>
      </c>
      <c r="M11" s="30">
        <v>0</v>
      </c>
      <c r="N11" s="30">
        <v>0</v>
      </c>
      <c r="O11" s="30"/>
      <c r="P11" s="31">
        <v>0</v>
      </c>
      <c r="Q11" s="31">
        <v>2.5</v>
      </c>
      <c r="R11" s="31" t="s">
        <v>3</v>
      </c>
      <c r="S11" s="31">
        <v>2.5</v>
      </c>
      <c r="T11" s="31" t="s">
        <v>68</v>
      </c>
      <c r="U11" s="31" t="s">
        <v>68</v>
      </c>
      <c r="V11" s="31" t="s">
        <v>69</v>
      </c>
      <c r="W11" s="30" t="s">
        <v>29</v>
      </c>
      <c r="X11" s="4"/>
      <c r="Y11"/>
    </row>
    <row r="12" spans="1:25" x14ac:dyDescent="0.25">
      <c r="A12" s="29"/>
      <c r="B12" s="29"/>
      <c r="C12" s="30"/>
      <c r="D12" s="30"/>
      <c r="E12" s="30"/>
      <c r="F12" s="30">
        <f>MOD(Table11[[#This Row],[Yard Line]],100)-MOD(E13,100)</f>
        <v>0</v>
      </c>
      <c r="G12" s="30"/>
      <c r="H12" s="30"/>
      <c r="I12" s="30"/>
      <c r="J12" s="30" t="s">
        <v>12</v>
      </c>
      <c r="K12" s="30" t="s">
        <v>66</v>
      </c>
      <c r="L12" s="30" t="s">
        <v>74</v>
      </c>
      <c r="M12" s="30">
        <v>0</v>
      </c>
      <c r="N12" s="30">
        <v>0</v>
      </c>
      <c r="O12" s="30"/>
      <c r="P12" s="31">
        <v>0</v>
      </c>
      <c r="Q12" s="31">
        <v>2.5</v>
      </c>
      <c r="R12" s="31" t="s">
        <v>3</v>
      </c>
      <c r="S12" s="31">
        <v>2.5</v>
      </c>
      <c r="T12" s="31" t="s">
        <v>68</v>
      </c>
      <c r="U12" s="31" t="s">
        <v>68</v>
      </c>
      <c r="V12" s="31" t="s">
        <v>69</v>
      </c>
      <c r="W12" s="30" t="s">
        <v>29</v>
      </c>
      <c r="X12" s="4"/>
      <c r="Y12"/>
    </row>
    <row r="13" spans="1:25" x14ac:dyDescent="0.25">
      <c r="A13" s="29"/>
      <c r="B13" s="29"/>
      <c r="C13" s="30"/>
      <c r="D13" s="30"/>
      <c r="E13" s="30"/>
      <c r="F13" s="30">
        <f>MOD(Table11[[#This Row],[Yard Line]],100)-MOD(E14,100)</f>
        <v>0</v>
      </c>
      <c r="G13" s="30"/>
      <c r="H13" s="30"/>
      <c r="I13" s="30"/>
      <c r="J13" s="30" t="s">
        <v>12</v>
      </c>
      <c r="K13" s="30" t="s">
        <v>66</v>
      </c>
      <c r="L13" s="30" t="s">
        <v>75</v>
      </c>
      <c r="M13" s="30">
        <v>0</v>
      </c>
      <c r="N13" s="30">
        <v>0</v>
      </c>
      <c r="O13" s="30"/>
      <c r="P13" s="31">
        <v>0</v>
      </c>
      <c r="Q13" s="31">
        <v>2.5</v>
      </c>
      <c r="R13" s="31" t="s">
        <v>3</v>
      </c>
      <c r="S13" s="31">
        <v>2.5</v>
      </c>
      <c r="T13" s="31" t="s">
        <v>68</v>
      </c>
      <c r="U13" s="31" t="s">
        <v>68</v>
      </c>
      <c r="V13" s="31" t="s">
        <v>69</v>
      </c>
      <c r="W13" s="30" t="s">
        <v>29</v>
      </c>
      <c r="Y13"/>
    </row>
    <row r="14" spans="1:25" x14ac:dyDescent="0.25">
      <c r="A14" s="29"/>
      <c r="B14" s="29"/>
      <c r="C14" s="30"/>
      <c r="D14" s="30"/>
      <c r="E14" s="30"/>
      <c r="F14" s="30">
        <f>MOD(Table11[[#This Row],[Yard Line]],100)-MOD(E15,100)</f>
        <v>0</v>
      </c>
      <c r="G14" s="30"/>
      <c r="H14" s="30"/>
      <c r="I14" s="30"/>
      <c r="J14" s="30" t="s">
        <v>12</v>
      </c>
      <c r="K14" s="30" t="s">
        <v>72</v>
      </c>
      <c r="L14" s="30" t="s">
        <v>73</v>
      </c>
      <c r="M14" s="30">
        <v>0</v>
      </c>
      <c r="N14" s="30">
        <v>0</v>
      </c>
      <c r="O14" s="30"/>
      <c r="P14" s="31">
        <v>0</v>
      </c>
      <c r="Q14" s="31">
        <v>0.5</v>
      </c>
      <c r="R14" s="31" t="s">
        <v>1</v>
      </c>
      <c r="S14" s="31">
        <v>2.5</v>
      </c>
      <c r="T14" s="31" t="s">
        <v>68</v>
      </c>
      <c r="U14" s="31" t="s">
        <v>68</v>
      </c>
      <c r="V14" s="31" t="s">
        <v>69</v>
      </c>
      <c r="W14" s="30" t="s">
        <v>29</v>
      </c>
      <c r="X14" s="3"/>
    </row>
    <row r="15" spans="1:25" x14ac:dyDescent="0.25">
      <c r="A15" s="29"/>
      <c r="B15" s="29"/>
      <c r="C15" s="30"/>
      <c r="D15" s="30"/>
      <c r="E15" s="30"/>
      <c r="F15" s="30">
        <f>MOD(Table11[[#This Row],[Yard Line]],100)-MOD(E16,100)</f>
        <v>0</v>
      </c>
      <c r="G15" s="30"/>
      <c r="H15" s="30"/>
      <c r="I15" s="30"/>
      <c r="J15" s="30" t="s">
        <v>12</v>
      </c>
      <c r="K15" s="30" t="s">
        <v>72</v>
      </c>
      <c r="L15" s="30" t="s">
        <v>74</v>
      </c>
      <c r="M15" s="30">
        <v>0</v>
      </c>
      <c r="N15" s="30">
        <v>0</v>
      </c>
      <c r="O15" s="30"/>
      <c r="P15" s="31">
        <v>0</v>
      </c>
      <c r="Q15" s="31">
        <v>0.5</v>
      </c>
      <c r="R15" s="31" t="s">
        <v>1</v>
      </c>
      <c r="S15" s="31">
        <v>2.5</v>
      </c>
      <c r="T15" s="31" t="s">
        <v>68</v>
      </c>
      <c r="U15" s="31" t="s">
        <v>68</v>
      </c>
      <c r="V15" s="31" t="s">
        <v>69</v>
      </c>
      <c r="W15" s="30" t="s">
        <v>29</v>
      </c>
    </row>
    <row r="16" spans="1:25" x14ac:dyDescent="0.25">
      <c r="A16" s="32"/>
      <c r="B16" s="32"/>
      <c r="C16" s="33"/>
      <c r="D16" s="33"/>
      <c r="E16" s="33"/>
      <c r="F16" s="33">
        <f>MOD(Table11[[#This Row],[Yard Line]],100)-MOD(E17,100)</f>
        <v>-65</v>
      </c>
      <c r="G16" s="33"/>
      <c r="H16" s="33"/>
      <c r="I16" s="33"/>
      <c r="J16" s="33" t="s">
        <v>12</v>
      </c>
      <c r="K16" s="33" t="s">
        <v>72</v>
      </c>
      <c r="L16" s="33" t="s">
        <v>75</v>
      </c>
      <c r="M16" s="33">
        <v>0</v>
      </c>
      <c r="N16" s="33">
        <v>0</v>
      </c>
      <c r="O16" s="33"/>
      <c r="P16" s="122">
        <v>0</v>
      </c>
      <c r="Q16" s="122">
        <v>0.5</v>
      </c>
      <c r="R16" s="122" t="s">
        <v>1</v>
      </c>
      <c r="S16" s="122">
        <v>2.5</v>
      </c>
      <c r="T16" s="122" t="s">
        <v>68</v>
      </c>
      <c r="U16" s="122" t="s">
        <v>68</v>
      </c>
      <c r="V16" s="122" t="s">
        <v>69</v>
      </c>
      <c r="W16" s="33" t="s">
        <v>29</v>
      </c>
    </row>
    <row r="17" spans="1:25" x14ac:dyDescent="0.25">
      <c r="A17">
        <v>3</v>
      </c>
      <c r="B17">
        <v>1</v>
      </c>
      <c r="C17">
        <v>1</v>
      </c>
      <c r="D17">
        <v>10</v>
      </c>
      <c r="E17">
        <v>-35</v>
      </c>
      <c r="F17">
        <v>-4</v>
      </c>
      <c r="G17" t="s">
        <v>70</v>
      </c>
      <c r="J17" t="s">
        <v>13</v>
      </c>
      <c r="K17" t="s">
        <v>70</v>
      </c>
      <c r="L17"/>
      <c r="M17">
        <v>1</v>
      </c>
      <c r="N17">
        <v>0</v>
      </c>
      <c r="O17" t="s">
        <v>67</v>
      </c>
      <c r="P17" s="17">
        <f>Table11[[#This Row],[Gain/Loss]]</f>
        <v>-4</v>
      </c>
      <c r="Q17" s="17">
        <f>IF(Table11[[#This Row],[Direction]]="L",0.5,IF(Table11[[#This Row],[Direction]]="M",1.5,2.5))</f>
        <v>1.5</v>
      </c>
      <c r="R17" s="17" t="str">
        <f>IF(Table11[[#This Row],[Direction]]="R","Right",IF(Table11[[#This Row],[Direction]]="L","Left","Middle"))</f>
        <v>Middle</v>
      </c>
      <c r="S17" s="17">
        <f>IF(Table11[[#This Row],[Pass Zone]]="S",0.5,IF(Table11[[#This Row],[Pass Zone]]="M",1.5,2.5))</f>
        <v>0.5</v>
      </c>
      <c r="T17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7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17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17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18" spans="1:25" x14ac:dyDescent="0.25">
      <c r="A18">
        <v>5</v>
      </c>
      <c r="B18">
        <v>2</v>
      </c>
      <c r="C18">
        <v>2</v>
      </c>
      <c r="D18">
        <v>9</v>
      </c>
      <c r="E18">
        <v>-36</v>
      </c>
      <c r="F18">
        <v>0</v>
      </c>
      <c r="G18" t="s">
        <v>70</v>
      </c>
      <c r="J18" t="s">
        <v>13</v>
      </c>
      <c r="K18" t="s">
        <v>70</v>
      </c>
      <c r="L18"/>
      <c r="M18">
        <v>1</v>
      </c>
      <c r="N18">
        <v>0</v>
      </c>
      <c r="O18" t="s">
        <v>67</v>
      </c>
      <c r="P18" s="17">
        <f>Table11[[#This Row],[Gain/Loss]]</f>
        <v>0</v>
      </c>
      <c r="Q18" s="17">
        <f>IF(Table11[[#This Row],[Direction]]="L",0.5,IF(Table11[[#This Row],[Direction]]="M",1.5,2.5))</f>
        <v>1.5</v>
      </c>
      <c r="R18" s="17" t="str">
        <f>IF(Table11[[#This Row],[Direction]]="R","Right",IF(Table11[[#This Row],[Direction]]="L","Left","Middle"))</f>
        <v>Middle</v>
      </c>
      <c r="S18" s="17">
        <f>IF(Table11[[#This Row],[Pass Zone]]="S",0.5,IF(Table11[[#This Row],[Pass Zone]]="M",1.5,2.5))</f>
        <v>0.5</v>
      </c>
      <c r="T18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8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18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03:  2nd &amp; 8+</v>
      </c>
      <c r="W18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19" spans="1:25" x14ac:dyDescent="0.25">
      <c r="A19">
        <v>6</v>
      </c>
      <c r="B19">
        <v>3</v>
      </c>
      <c r="C19">
        <v>3</v>
      </c>
      <c r="D19">
        <v>9</v>
      </c>
      <c r="E19">
        <v>-36</v>
      </c>
      <c r="F19">
        <v>13</v>
      </c>
      <c r="G19" t="s">
        <v>70</v>
      </c>
      <c r="J19" t="s">
        <v>12</v>
      </c>
      <c r="K19" t="s">
        <v>72</v>
      </c>
      <c r="L19" t="s">
        <v>75</v>
      </c>
      <c r="M19">
        <v>1</v>
      </c>
      <c r="N19"/>
      <c r="O19"/>
      <c r="P19" s="17">
        <f>Table11[[#This Row],[Gain/Loss]]</f>
        <v>13</v>
      </c>
      <c r="Q19" s="17">
        <f>IF(Table11[[#This Row],[Direction]]="L",0.5,IF(Table11[[#This Row],[Direction]]="M",1.5,2.5))</f>
        <v>0.5</v>
      </c>
      <c r="R19" s="17" t="str">
        <f>IF(Table11[[#This Row],[Direction]]="R","Right",IF(Table11[[#This Row],[Direction]]="L","Left","Middle"))</f>
        <v>Left</v>
      </c>
      <c r="S19" s="17">
        <f>IF(Table11[[#This Row],[Pass Zone]]="S",0.5,IF(Table11[[#This Row],[Pass Zone]]="M",1.5,2.5))</f>
        <v>2.5</v>
      </c>
      <c r="T19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9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19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06:  3rd &amp; 8+</v>
      </c>
      <c r="W19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20" spans="1:25" x14ac:dyDescent="0.25">
      <c r="A20">
        <v>8</v>
      </c>
      <c r="B20">
        <v>2</v>
      </c>
      <c r="C20">
        <v>2</v>
      </c>
      <c r="D20">
        <v>23</v>
      </c>
      <c r="E20">
        <v>-36</v>
      </c>
      <c r="F20">
        <v>1</v>
      </c>
      <c r="G20" t="s">
        <v>66</v>
      </c>
      <c r="J20" t="s">
        <v>12</v>
      </c>
      <c r="K20" t="s">
        <v>72</v>
      </c>
      <c r="L20" t="s">
        <v>74</v>
      </c>
      <c r="M20">
        <v>1</v>
      </c>
      <c r="N20"/>
      <c r="O20"/>
      <c r="P20" s="17">
        <f>Table11[[#This Row],[Gain/Loss]]</f>
        <v>1</v>
      </c>
      <c r="Q20" s="17">
        <f>IF(Table11[[#This Row],[Direction]]="L",0.5,IF(Table11[[#This Row],[Direction]]="M",1.5,2.5))</f>
        <v>0.5</v>
      </c>
      <c r="R20" s="17" t="str">
        <f>IF(Table11[[#This Row],[Direction]]="R","Right",IF(Table11[[#This Row],[Direction]]="L","Left","Middle"))</f>
        <v>Left</v>
      </c>
      <c r="S20" s="17">
        <f>IF(Table11[[#This Row],[Pass Zone]]="S",0.5,IF(Table11[[#This Row],[Pass Zone]]="M",1.5,2.5))</f>
        <v>2.5</v>
      </c>
      <c r="T20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20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20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03:  2nd &amp; 8+</v>
      </c>
      <c r="W20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21" spans="1:25" x14ac:dyDescent="0.25">
      <c r="A21">
        <v>9</v>
      </c>
      <c r="B21">
        <v>3</v>
      </c>
      <c r="C21">
        <v>3</v>
      </c>
      <c r="D21">
        <v>22</v>
      </c>
      <c r="E21">
        <v>-37</v>
      </c>
      <c r="F21">
        <v>0</v>
      </c>
      <c r="G21" t="s">
        <v>72</v>
      </c>
      <c r="J21" t="s">
        <v>12</v>
      </c>
      <c r="K21" t="s">
        <v>66</v>
      </c>
      <c r="L21" t="s">
        <v>74</v>
      </c>
      <c r="M21">
        <v>1</v>
      </c>
      <c r="N21"/>
      <c r="O21"/>
      <c r="P21" s="17">
        <f>Table11[[#This Row],[Gain/Loss]]</f>
        <v>0</v>
      </c>
      <c r="Q21" s="17">
        <f>IF(Table11[[#This Row],[Direction]]="L",0.5,IF(Table11[[#This Row],[Direction]]="M",1.5,2.5))</f>
        <v>2.5</v>
      </c>
      <c r="R21" s="17" t="str">
        <f>IF(Table11[[#This Row],[Direction]]="R","Right",IF(Table11[[#This Row],[Direction]]="L","Left","Middle"))</f>
        <v>Right</v>
      </c>
      <c r="S21" s="17">
        <f>IF(Table11[[#This Row],[Pass Zone]]="S",0.5,IF(Table11[[#This Row],[Pass Zone]]="M",1.5,2.5))</f>
        <v>2.5</v>
      </c>
      <c r="T21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21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21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06:  3rd &amp; 8+</v>
      </c>
      <c r="W21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22" spans="1:25" x14ac:dyDescent="0.25">
      <c r="A22">
        <v>18</v>
      </c>
      <c r="B22">
        <v>1</v>
      </c>
      <c r="C22">
        <v>1</v>
      </c>
      <c r="D22">
        <v>10</v>
      </c>
      <c r="E22">
        <v>36</v>
      </c>
      <c r="F22">
        <v>5</v>
      </c>
      <c r="G22" t="s">
        <v>66</v>
      </c>
      <c r="J22" t="s">
        <v>12</v>
      </c>
      <c r="K22" t="s">
        <v>66</v>
      </c>
      <c r="L22" t="s">
        <v>74</v>
      </c>
      <c r="M22">
        <v>1</v>
      </c>
      <c r="N22"/>
      <c r="O22"/>
      <c r="P22" s="17">
        <f>Table11[[#This Row],[Gain/Loss]]</f>
        <v>5</v>
      </c>
      <c r="Q22" s="17">
        <f>IF(Table11[[#This Row],[Direction]]="L",0.5,IF(Table11[[#This Row],[Direction]]="M",1.5,2.5))</f>
        <v>2.5</v>
      </c>
      <c r="R22" s="17" t="str">
        <f>IF(Table11[[#This Row],[Direction]]="R","Right",IF(Table11[[#This Row],[Direction]]="L","Left","Middle"))</f>
        <v>Right</v>
      </c>
      <c r="S22" s="17">
        <f>IF(Table11[[#This Row],[Pass Zone]]="S",0.5,IF(Table11[[#This Row],[Pass Zone]]="M",1.5,2.5))</f>
        <v>2.5</v>
      </c>
      <c r="T22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22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22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22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</row>
    <row r="23" spans="1:25" x14ac:dyDescent="0.25">
      <c r="A23">
        <v>19</v>
      </c>
      <c r="B23">
        <v>2</v>
      </c>
      <c r="C23">
        <v>2</v>
      </c>
      <c r="D23">
        <v>5</v>
      </c>
      <c r="E23">
        <v>31</v>
      </c>
      <c r="F23">
        <v>2</v>
      </c>
      <c r="G23" t="s">
        <v>66</v>
      </c>
      <c r="J23" t="s">
        <v>12</v>
      </c>
      <c r="K23" t="s">
        <v>72</v>
      </c>
      <c r="L23" t="s">
        <v>74</v>
      </c>
      <c r="M23">
        <v>1</v>
      </c>
      <c r="N23"/>
      <c r="O23"/>
      <c r="P23" s="17">
        <f>Table11[[#This Row],[Gain/Loss]]</f>
        <v>2</v>
      </c>
      <c r="Q23" s="17">
        <f>IF(Table11[[#This Row],[Direction]]="L",0.5,IF(Table11[[#This Row],[Direction]]="M",1.5,2.5))</f>
        <v>0.5</v>
      </c>
      <c r="R23" s="17" t="str">
        <f>IF(Table11[[#This Row],[Direction]]="R","Right",IF(Table11[[#This Row],[Direction]]="L","Left","Middle"))</f>
        <v>Left</v>
      </c>
      <c r="S23" s="17">
        <f>IF(Table11[[#This Row],[Pass Zone]]="S",0.5,IF(Table11[[#This Row],[Pass Zone]]="M",1.5,2.5))</f>
        <v>2.5</v>
      </c>
      <c r="T23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23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23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04:  2nd &amp; 4 - 7</v>
      </c>
      <c r="W23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</row>
    <row r="24" spans="1:25" x14ac:dyDescent="0.25">
      <c r="A24">
        <v>20</v>
      </c>
      <c r="B24">
        <v>3</v>
      </c>
      <c r="C24">
        <v>3</v>
      </c>
      <c r="D24">
        <v>3</v>
      </c>
      <c r="E24">
        <v>29</v>
      </c>
      <c r="F24">
        <v>0</v>
      </c>
      <c r="G24" t="s">
        <v>70</v>
      </c>
      <c r="J24" t="s">
        <v>12</v>
      </c>
      <c r="K24" t="s">
        <v>66</v>
      </c>
      <c r="L24" t="s">
        <v>74</v>
      </c>
      <c r="M24">
        <v>1</v>
      </c>
      <c r="N24"/>
      <c r="O24"/>
      <c r="P24" s="17">
        <f>Table11[[#This Row],[Gain/Loss]]</f>
        <v>0</v>
      </c>
      <c r="Q24" s="17">
        <f>IF(Table11[[#This Row],[Direction]]="L",0.5,IF(Table11[[#This Row],[Direction]]="M",1.5,2.5))</f>
        <v>2.5</v>
      </c>
      <c r="R24" s="17" t="str">
        <f>IF(Table11[[#This Row],[Direction]]="R","Right",IF(Table11[[#This Row],[Direction]]="L","Left","Middle"))</f>
        <v>Right</v>
      </c>
      <c r="S24" s="17">
        <f>IF(Table11[[#This Row],[Pass Zone]]="S",0.5,IF(Table11[[#This Row],[Pass Zone]]="M",1.5,2.5))</f>
        <v>2.5</v>
      </c>
      <c r="T24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24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24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08:  3rd &amp; &lt; 4</v>
      </c>
      <c r="W24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</row>
    <row r="25" spans="1:25" x14ac:dyDescent="0.25">
      <c r="A25">
        <v>28</v>
      </c>
      <c r="B25">
        <v>1</v>
      </c>
      <c r="C25">
        <v>1</v>
      </c>
      <c r="D25">
        <v>10</v>
      </c>
      <c r="E25">
        <v>-5</v>
      </c>
      <c r="F25">
        <v>0</v>
      </c>
      <c r="G25" t="s">
        <v>70</v>
      </c>
      <c r="J25" t="s">
        <v>13</v>
      </c>
      <c r="K25" t="s">
        <v>72</v>
      </c>
      <c r="L25"/>
      <c r="M25">
        <v>1</v>
      </c>
      <c r="N25">
        <v>0</v>
      </c>
      <c r="O25"/>
      <c r="P25" s="17">
        <f>Table11[[#This Row],[Gain/Loss]]</f>
        <v>0</v>
      </c>
      <c r="Q25" s="17">
        <f>IF(Table11[[#This Row],[Direction]]="L",0.5,IF(Table11[[#This Row],[Direction]]="M",1.5,2.5))</f>
        <v>0.5</v>
      </c>
      <c r="R25" s="17" t="str">
        <f>IF(Table11[[#This Row],[Direction]]="R","Right",IF(Table11[[#This Row],[Direction]]="L","Left","Middle"))</f>
        <v>Left</v>
      </c>
      <c r="S25" s="17">
        <f>IF(Table11[[#This Row],[Pass Zone]]="S",0.5,IF(Table11[[#This Row],[Pass Zone]]="M",1.5,2.5))</f>
        <v>2.5</v>
      </c>
      <c r="T25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25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25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25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0-20</v>
      </c>
    </row>
    <row r="26" spans="1:25" x14ac:dyDescent="0.25">
      <c r="A26">
        <v>29</v>
      </c>
      <c r="B26">
        <v>2</v>
      </c>
      <c r="C26">
        <v>2</v>
      </c>
      <c r="D26">
        <v>10</v>
      </c>
      <c r="E26">
        <v>-5</v>
      </c>
      <c r="F26">
        <v>1</v>
      </c>
      <c r="G26" t="s">
        <v>70</v>
      </c>
      <c r="J26" t="s">
        <v>12</v>
      </c>
      <c r="K26" t="s">
        <v>72</v>
      </c>
      <c r="L26" t="s">
        <v>74</v>
      </c>
      <c r="M26">
        <v>1</v>
      </c>
      <c r="N26"/>
      <c r="O26"/>
      <c r="P26" s="17">
        <f>Table11[[#This Row],[Gain/Loss]]</f>
        <v>1</v>
      </c>
      <c r="Q26" s="17">
        <f>IF(Table11[[#This Row],[Direction]]="L",0.5,IF(Table11[[#This Row],[Direction]]="M",1.5,2.5))</f>
        <v>0.5</v>
      </c>
      <c r="R26" s="17" t="str">
        <f>IF(Table11[[#This Row],[Direction]]="R","Right",IF(Table11[[#This Row],[Direction]]="L","Left","Middle"))</f>
        <v>Left</v>
      </c>
      <c r="S26" s="17">
        <f>IF(Table11[[#This Row],[Pass Zone]]="S",0.5,IF(Table11[[#This Row],[Pass Zone]]="M",1.5,2.5))</f>
        <v>2.5</v>
      </c>
      <c r="T26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26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26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03:  2nd &amp; 8+</v>
      </c>
      <c r="W26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0-20</v>
      </c>
    </row>
    <row r="27" spans="1:25" x14ac:dyDescent="0.25">
      <c r="A27">
        <v>30</v>
      </c>
      <c r="B27">
        <v>3</v>
      </c>
      <c r="C27">
        <v>3</v>
      </c>
      <c r="D27">
        <v>9</v>
      </c>
      <c r="E27">
        <v>-6</v>
      </c>
      <c r="F27">
        <v>0</v>
      </c>
      <c r="G27" t="s">
        <v>72</v>
      </c>
      <c r="J27" t="s">
        <v>12</v>
      </c>
      <c r="K27" t="s">
        <v>66</v>
      </c>
      <c r="L27" t="s">
        <v>74</v>
      </c>
      <c r="M27">
        <v>1</v>
      </c>
      <c r="N27"/>
      <c r="O27"/>
      <c r="P27" s="17">
        <f>Table11[[#This Row],[Gain/Loss]]</f>
        <v>0</v>
      </c>
      <c r="Q27" s="17">
        <f>IF(Table11[[#This Row],[Direction]]="L",0.5,IF(Table11[[#This Row],[Direction]]="M",1.5,2.5))</f>
        <v>2.5</v>
      </c>
      <c r="R27" s="17" t="str">
        <f>IF(Table11[[#This Row],[Direction]]="R","Right",IF(Table11[[#This Row],[Direction]]="L","Left","Middle"))</f>
        <v>Right</v>
      </c>
      <c r="S27" s="17">
        <f>IF(Table11[[#This Row],[Pass Zone]]="S",0.5,IF(Table11[[#This Row],[Pass Zone]]="M",1.5,2.5))</f>
        <v>2.5</v>
      </c>
      <c r="T27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27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27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06:  3rd &amp; 8+</v>
      </c>
      <c r="W27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0-20</v>
      </c>
    </row>
    <row r="28" spans="1:25" x14ac:dyDescent="0.25">
      <c r="A28">
        <v>38</v>
      </c>
      <c r="B28">
        <v>1</v>
      </c>
      <c r="C28">
        <v>1</v>
      </c>
      <c r="D28">
        <v>10</v>
      </c>
      <c r="E28">
        <v>-48</v>
      </c>
      <c r="F28">
        <v>3</v>
      </c>
      <c r="G28" t="s">
        <v>70</v>
      </c>
      <c r="J28" t="s">
        <v>12</v>
      </c>
      <c r="K28" t="s">
        <v>66</v>
      </c>
      <c r="L28" t="s">
        <v>74</v>
      </c>
      <c r="M28">
        <v>1</v>
      </c>
      <c r="N28"/>
      <c r="O28"/>
      <c r="P28" s="17">
        <f>Table11[[#This Row],[Gain/Loss]]</f>
        <v>3</v>
      </c>
      <c r="Q28" s="17">
        <f>IF(Table11[[#This Row],[Direction]]="L",0.5,IF(Table11[[#This Row],[Direction]]="M",1.5,2.5))</f>
        <v>2.5</v>
      </c>
      <c r="R28" s="17" t="str">
        <f>IF(Table11[[#This Row],[Direction]]="R","Right",IF(Table11[[#This Row],[Direction]]="L","Left","Middle"))</f>
        <v>Right</v>
      </c>
      <c r="S28" s="17">
        <f>IF(Table11[[#This Row],[Pass Zone]]="S",0.5,IF(Table11[[#This Row],[Pass Zone]]="M",1.5,2.5))</f>
        <v>2.5</v>
      </c>
      <c r="T28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28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28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28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29" spans="1:25" x14ac:dyDescent="0.25">
      <c r="A29">
        <v>44</v>
      </c>
      <c r="B29">
        <v>1</v>
      </c>
      <c r="C29">
        <v>1</v>
      </c>
      <c r="D29">
        <v>10</v>
      </c>
      <c r="E29">
        <v>10</v>
      </c>
      <c r="F29">
        <v>0</v>
      </c>
      <c r="G29" t="s">
        <v>72</v>
      </c>
      <c r="J29" t="s">
        <v>12</v>
      </c>
      <c r="K29" t="s">
        <v>66</v>
      </c>
      <c r="L29" t="s">
        <v>74</v>
      </c>
      <c r="M29">
        <v>1</v>
      </c>
      <c r="N29"/>
      <c r="O29"/>
      <c r="P29" s="17">
        <f>Table11[[#This Row],[Gain/Loss]]</f>
        <v>0</v>
      </c>
      <c r="Q29" s="17">
        <f>IF(Table11[[#This Row],[Direction]]="L",0.5,IF(Table11[[#This Row],[Direction]]="M",1.5,2.5))</f>
        <v>2.5</v>
      </c>
      <c r="R29" s="17" t="str">
        <f>IF(Table11[[#This Row],[Direction]]="R","Right",IF(Table11[[#This Row],[Direction]]="L","Left","Middle"))</f>
        <v>Right</v>
      </c>
      <c r="S29" s="17">
        <f>IF(Table11[[#This Row],[Pass Zone]]="S",0.5,IF(Table11[[#This Row],[Pass Zone]]="M",1.5,2.5))</f>
        <v>2.5</v>
      </c>
      <c r="T29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29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29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29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Red Zone</v>
      </c>
    </row>
    <row r="30" spans="1:25" x14ac:dyDescent="0.25">
      <c r="A30">
        <v>45</v>
      </c>
      <c r="B30">
        <v>2</v>
      </c>
      <c r="C30">
        <v>2</v>
      </c>
      <c r="D30">
        <v>10</v>
      </c>
      <c r="E30">
        <v>10</v>
      </c>
      <c r="F30">
        <v>5</v>
      </c>
      <c r="G30" t="s">
        <v>72</v>
      </c>
      <c r="J30" t="s">
        <v>12</v>
      </c>
      <c r="K30" t="s">
        <v>66</v>
      </c>
      <c r="L30" t="s">
        <v>74</v>
      </c>
      <c r="M30">
        <v>1</v>
      </c>
      <c r="N30"/>
      <c r="O30"/>
      <c r="P30" s="17">
        <f>Table11[[#This Row],[Gain/Loss]]</f>
        <v>5</v>
      </c>
      <c r="Q30" s="17">
        <f>IF(Table11[[#This Row],[Direction]]="L",0.5,IF(Table11[[#This Row],[Direction]]="M",1.5,2.5))</f>
        <v>2.5</v>
      </c>
      <c r="R30" s="17" t="str">
        <f>IF(Table11[[#This Row],[Direction]]="R","Right",IF(Table11[[#This Row],[Direction]]="L","Left","Middle"))</f>
        <v>Right</v>
      </c>
      <c r="S30" s="17">
        <f>IF(Table11[[#This Row],[Pass Zone]]="S",0.5,IF(Table11[[#This Row],[Pass Zone]]="M",1.5,2.5))</f>
        <v>2.5</v>
      </c>
      <c r="T30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30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30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03:  2nd &amp; 8+</v>
      </c>
      <c r="W30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Red Zone</v>
      </c>
      <c r="Y30"/>
    </row>
    <row r="31" spans="1:25" x14ac:dyDescent="0.25">
      <c r="A31">
        <v>47</v>
      </c>
      <c r="B31">
        <v>3</v>
      </c>
      <c r="C31">
        <v>3</v>
      </c>
      <c r="D31">
        <v>5</v>
      </c>
      <c r="E31">
        <v>5</v>
      </c>
      <c r="F31">
        <v>5</v>
      </c>
      <c r="G31" t="s">
        <v>66</v>
      </c>
      <c r="J31" t="s">
        <v>12</v>
      </c>
      <c r="K31" t="s">
        <v>66</v>
      </c>
      <c r="L31" t="s">
        <v>74</v>
      </c>
      <c r="M31">
        <v>1</v>
      </c>
      <c r="N31"/>
      <c r="O31"/>
      <c r="P31" s="17">
        <f>Table11[[#This Row],[Gain/Loss]]</f>
        <v>5</v>
      </c>
      <c r="Q31" s="17">
        <f>IF(Table11[[#This Row],[Direction]]="L",0.5,IF(Table11[[#This Row],[Direction]]="M",1.5,2.5))</f>
        <v>2.5</v>
      </c>
      <c r="R31" s="17" t="str">
        <f>IF(Table11[[#This Row],[Direction]]="R","Right",IF(Table11[[#This Row],[Direction]]="L","Left","Middle"))</f>
        <v>Right</v>
      </c>
      <c r="S31" s="17">
        <f>IF(Table11[[#This Row],[Pass Zone]]="S",0.5,IF(Table11[[#This Row],[Pass Zone]]="M",1.5,2.5))</f>
        <v>2.5</v>
      </c>
      <c r="T31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31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31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07:  3rd &amp; 4 - 7</v>
      </c>
      <c r="W31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Red Zone</v>
      </c>
      <c r="Y31"/>
    </row>
    <row r="32" spans="1:25" x14ac:dyDescent="0.25">
      <c r="A32">
        <v>57</v>
      </c>
      <c r="B32">
        <v>1</v>
      </c>
      <c r="C32">
        <v>1</v>
      </c>
      <c r="D32">
        <v>10</v>
      </c>
      <c r="E32">
        <v>-10</v>
      </c>
      <c r="F32">
        <v>0</v>
      </c>
      <c r="G32" t="s">
        <v>72</v>
      </c>
      <c r="J32" t="s">
        <v>12</v>
      </c>
      <c r="K32" t="s">
        <v>66</v>
      </c>
      <c r="L32" t="s">
        <v>74</v>
      </c>
      <c r="M32">
        <v>1</v>
      </c>
      <c r="N32"/>
      <c r="O32"/>
      <c r="P32" s="17">
        <f>Table11[[#This Row],[Gain/Loss]]</f>
        <v>0</v>
      </c>
      <c r="Q32" s="17">
        <f>IF(Table11[[#This Row],[Direction]]="L",0.5,IF(Table11[[#This Row],[Direction]]="M",1.5,2.5))</f>
        <v>2.5</v>
      </c>
      <c r="R32" s="17" t="str">
        <f>IF(Table11[[#This Row],[Direction]]="R","Right",IF(Table11[[#This Row],[Direction]]="L","Left","Middle"))</f>
        <v>Right</v>
      </c>
      <c r="S32" s="17">
        <f>IF(Table11[[#This Row],[Pass Zone]]="S",0.5,IF(Table11[[#This Row],[Pass Zone]]="M",1.5,2.5))</f>
        <v>2.5</v>
      </c>
      <c r="T32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32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32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32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0-20</v>
      </c>
      <c r="Y32"/>
    </row>
    <row r="33" spans="1:25" x14ac:dyDescent="0.25">
      <c r="A33">
        <v>58</v>
      </c>
      <c r="B33">
        <v>2</v>
      </c>
      <c r="C33">
        <v>2</v>
      </c>
      <c r="D33">
        <v>10</v>
      </c>
      <c r="E33">
        <v>-10</v>
      </c>
      <c r="F33">
        <v>2</v>
      </c>
      <c r="G33" t="s">
        <v>66</v>
      </c>
      <c r="J33" t="s">
        <v>12</v>
      </c>
      <c r="K33" t="s">
        <v>66</v>
      </c>
      <c r="L33" t="s">
        <v>74</v>
      </c>
      <c r="M33">
        <v>1</v>
      </c>
      <c r="N33"/>
      <c r="O33"/>
      <c r="P33" s="17">
        <f>Table11[[#This Row],[Gain/Loss]]</f>
        <v>2</v>
      </c>
      <c r="Q33" s="17">
        <f>IF(Table11[[#This Row],[Direction]]="L",0.5,IF(Table11[[#This Row],[Direction]]="M",1.5,2.5))</f>
        <v>2.5</v>
      </c>
      <c r="R33" s="17" t="str">
        <f>IF(Table11[[#This Row],[Direction]]="R","Right",IF(Table11[[#This Row],[Direction]]="L","Left","Middle"))</f>
        <v>Right</v>
      </c>
      <c r="S33" s="17">
        <f>IF(Table11[[#This Row],[Pass Zone]]="S",0.5,IF(Table11[[#This Row],[Pass Zone]]="M",1.5,2.5))</f>
        <v>2.5</v>
      </c>
      <c r="T33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33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33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03:  2nd &amp; 8+</v>
      </c>
      <c r="W33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0-20</v>
      </c>
      <c r="Y33"/>
    </row>
    <row r="34" spans="1:25" x14ac:dyDescent="0.25">
      <c r="A34">
        <v>59</v>
      </c>
      <c r="B34">
        <v>3</v>
      </c>
      <c r="C34">
        <v>3</v>
      </c>
      <c r="D34">
        <v>8</v>
      </c>
      <c r="E34">
        <v>-12</v>
      </c>
      <c r="F34">
        <v>-9</v>
      </c>
      <c r="G34" t="s">
        <v>66</v>
      </c>
      <c r="J34" t="s">
        <v>13</v>
      </c>
      <c r="K34" t="s">
        <v>70</v>
      </c>
      <c r="L34"/>
      <c r="M34">
        <v>1</v>
      </c>
      <c r="N34">
        <v>0</v>
      </c>
      <c r="O34" t="s">
        <v>67</v>
      </c>
      <c r="P34" s="17">
        <f>Table11[[#This Row],[Gain/Loss]]</f>
        <v>-9</v>
      </c>
      <c r="Q34" s="17">
        <f>IF(Table11[[#This Row],[Direction]]="L",0.5,IF(Table11[[#This Row],[Direction]]="M",1.5,2.5))</f>
        <v>1.5</v>
      </c>
      <c r="R34" s="17" t="str">
        <f>IF(Table11[[#This Row],[Direction]]="R","Right",IF(Table11[[#This Row],[Direction]]="L","Left","Middle"))</f>
        <v>Middle</v>
      </c>
      <c r="S34" s="17">
        <f>IF(Table11[[#This Row],[Pass Zone]]="S",0.5,IF(Table11[[#This Row],[Pass Zone]]="M",1.5,2.5))</f>
        <v>0.5</v>
      </c>
      <c r="T34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34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34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06:  3rd &amp; 8+</v>
      </c>
      <c r="W34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0-20</v>
      </c>
      <c r="Y34"/>
    </row>
    <row r="35" spans="1:25" x14ac:dyDescent="0.25">
      <c r="A35">
        <v>63</v>
      </c>
      <c r="B35">
        <v>1</v>
      </c>
      <c r="C35">
        <v>1</v>
      </c>
      <c r="D35">
        <v>10</v>
      </c>
      <c r="E35">
        <v>-2</v>
      </c>
      <c r="F35">
        <v>0</v>
      </c>
      <c r="G35" t="s">
        <v>72</v>
      </c>
      <c r="J35" t="s">
        <v>12</v>
      </c>
      <c r="K35" t="s">
        <v>66</v>
      </c>
      <c r="L35" t="s">
        <v>74</v>
      </c>
      <c r="M35">
        <v>1</v>
      </c>
      <c r="N35"/>
      <c r="O35"/>
      <c r="P35" s="17">
        <f>Table11[[#This Row],[Gain/Loss]]</f>
        <v>0</v>
      </c>
      <c r="Q35" s="17">
        <f>IF(Table11[[#This Row],[Direction]]="L",0.5,IF(Table11[[#This Row],[Direction]]="M",1.5,2.5))</f>
        <v>2.5</v>
      </c>
      <c r="R35" s="17" t="str">
        <f>IF(Table11[[#This Row],[Direction]]="R","Right",IF(Table11[[#This Row],[Direction]]="L","Left","Middle"))</f>
        <v>Right</v>
      </c>
      <c r="S35" s="17">
        <f>IF(Table11[[#This Row],[Pass Zone]]="S",0.5,IF(Table11[[#This Row],[Pass Zone]]="M",1.5,2.5))</f>
        <v>2.5</v>
      </c>
      <c r="T35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35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35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35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0-20</v>
      </c>
      <c r="Y35"/>
    </row>
    <row r="36" spans="1:25" x14ac:dyDescent="0.25">
      <c r="A36">
        <v>64</v>
      </c>
      <c r="B36">
        <v>2</v>
      </c>
      <c r="C36">
        <v>2</v>
      </c>
      <c r="D36">
        <v>10</v>
      </c>
      <c r="E36">
        <v>-2</v>
      </c>
      <c r="F36">
        <v>0</v>
      </c>
      <c r="G36" t="s">
        <v>70</v>
      </c>
      <c r="J36" t="s">
        <v>13</v>
      </c>
      <c r="K36" t="s">
        <v>66</v>
      </c>
      <c r="L36"/>
      <c r="M36">
        <v>1</v>
      </c>
      <c r="N36">
        <v>0</v>
      </c>
      <c r="O36"/>
      <c r="P36" s="17">
        <f>Table11[[#This Row],[Gain/Loss]]</f>
        <v>0</v>
      </c>
      <c r="Q36" s="17">
        <f>IF(Table11[[#This Row],[Direction]]="L",0.5,IF(Table11[[#This Row],[Direction]]="M",1.5,2.5))</f>
        <v>2.5</v>
      </c>
      <c r="R36" s="17" t="str">
        <f>IF(Table11[[#This Row],[Direction]]="R","Right",IF(Table11[[#This Row],[Direction]]="L","Left","Middle"))</f>
        <v>Right</v>
      </c>
      <c r="S36" s="17">
        <f>IF(Table11[[#This Row],[Pass Zone]]="S",0.5,IF(Table11[[#This Row],[Pass Zone]]="M",1.5,2.5))</f>
        <v>2.5</v>
      </c>
      <c r="T36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36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36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03:  2nd &amp; 8+</v>
      </c>
      <c r="W36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0-20</v>
      </c>
      <c r="Y36"/>
    </row>
    <row r="37" spans="1:25" x14ac:dyDescent="0.25">
      <c r="A37">
        <v>71</v>
      </c>
      <c r="B37">
        <v>1</v>
      </c>
      <c r="C37">
        <v>1</v>
      </c>
      <c r="D37">
        <v>10</v>
      </c>
      <c r="E37">
        <v>23</v>
      </c>
      <c r="F37">
        <v>0</v>
      </c>
      <c r="G37" t="s">
        <v>72</v>
      </c>
      <c r="J37" t="s">
        <v>13</v>
      </c>
      <c r="K37" t="s">
        <v>66</v>
      </c>
      <c r="L37"/>
      <c r="M37">
        <v>1</v>
      </c>
      <c r="N37">
        <v>0</v>
      </c>
      <c r="O37"/>
      <c r="P37" s="17">
        <f>Table11[[#This Row],[Gain/Loss]]</f>
        <v>0</v>
      </c>
      <c r="Q37" s="17">
        <f>IF(Table11[[#This Row],[Direction]]="L",0.5,IF(Table11[[#This Row],[Direction]]="M",1.5,2.5))</f>
        <v>2.5</v>
      </c>
      <c r="R37" s="17" t="str">
        <f>IF(Table11[[#This Row],[Direction]]="R","Right",IF(Table11[[#This Row],[Direction]]="L","Left","Middle"))</f>
        <v>Right</v>
      </c>
      <c r="S37" s="17">
        <f>IF(Table11[[#This Row],[Pass Zone]]="S",0.5,IF(Table11[[#This Row],[Pass Zone]]="M",1.5,2.5))</f>
        <v>2.5</v>
      </c>
      <c r="T37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37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37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37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  <c r="Y37"/>
    </row>
    <row r="38" spans="1:25" x14ac:dyDescent="0.25">
      <c r="A38">
        <v>72</v>
      </c>
      <c r="B38">
        <v>2</v>
      </c>
      <c r="C38">
        <v>2</v>
      </c>
      <c r="D38">
        <v>10</v>
      </c>
      <c r="E38">
        <v>23</v>
      </c>
      <c r="F38">
        <v>-6</v>
      </c>
      <c r="G38" t="s">
        <v>72</v>
      </c>
      <c r="J38" t="s">
        <v>12</v>
      </c>
      <c r="K38" t="s">
        <v>66</v>
      </c>
      <c r="L38" t="s">
        <v>74</v>
      </c>
      <c r="M38">
        <v>1</v>
      </c>
      <c r="N38"/>
      <c r="O38"/>
      <c r="P38" s="17">
        <f>Table11[[#This Row],[Gain/Loss]]</f>
        <v>-6</v>
      </c>
      <c r="Q38" s="17">
        <f>IF(Table11[[#This Row],[Direction]]="L",0.5,IF(Table11[[#This Row],[Direction]]="M",1.5,2.5))</f>
        <v>2.5</v>
      </c>
      <c r="R38" s="17" t="str">
        <f>IF(Table11[[#This Row],[Direction]]="R","Right",IF(Table11[[#This Row],[Direction]]="L","Left","Middle"))</f>
        <v>Right</v>
      </c>
      <c r="S38" s="17">
        <f>IF(Table11[[#This Row],[Pass Zone]]="S",0.5,IF(Table11[[#This Row],[Pass Zone]]="M",1.5,2.5))</f>
        <v>2.5</v>
      </c>
      <c r="T38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38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38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03:  2nd &amp; 8+</v>
      </c>
      <c r="W38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  <c r="Y38"/>
    </row>
    <row r="39" spans="1:25" x14ac:dyDescent="0.25">
      <c r="A39">
        <v>73</v>
      </c>
      <c r="B39">
        <v>3</v>
      </c>
      <c r="C39">
        <v>3</v>
      </c>
      <c r="D39">
        <v>16</v>
      </c>
      <c r="E39">
        <v>29</v>
      </c>
      <c r="F39">
        <v>21</v>
      </c>
      <c r="G39" t="s">
        <v>70</v>
      </c>
      <c r="J39" t="s">
        <v>13</v>
      </c>
      <c r="K39" t="s">
        <v>66</v>
      </c>
      <c r="L39"/>
      <c r="M39">
        <v>1</v>
      </c>
      <c r="N39">
        <v>1</v>
      </c>
      <c r="O39" t="s">
        <v>71</v>
      </c>
      <c r="P39" s="17">
        <f>Table11[[#This Row],[Gain/Loss]]</f>
        <v>21</v>
      </c>
      <c r="Q39" s="17">
        <f>IF(Table11[[#This Row],[Direction]]="L",0.5,IF(Table11[[#This Row],[Direction]]="M",1.5,2.5))</f>
        <v>2.5</v>
      </c>
      <c r="R39" s="17" t="str">
        <f>IF(Table11[[#This Row],[Direction]]="R","Right",IF(Table11[[#This Row],[Direction]]="L","Left","Middle"))</f>
        <v>Right</v>
      </c>
      <c r="S39" s="17">
        <f>IF(Table11[[#This Row],[Pass Zone]]="S",0.5,IF(Table11[[#This Row],[Pass Zone]]="M",1.5,2.5))</f>
        <v>2.5</v>
      </c>
      <c r="T39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39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39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06:  3rd &amp; 8+</v>
      </c>
      <c r="W39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  <c r="Y39"/>
    </row>
    <row r="40" spans="1:25" x14ac:dyDescent="0.25">
      <c r="A40">
        <v>76</v>
      </c>
      <c r="B40">
        <v>1</v>
      </c>
      <c r="C40">
        <v>1</v>
      </c>
      <c r="D40">
        <v>10</v>
      </c>
      <c r="E40">
        <v>20</v>
      </c>
      <c r="F40">
        <v>1</v>
      </c>
      <c r="G40" t="s">
        <v>72</v>
      </c>
      <c r="J40" t="s">
        <v>12</v>
      </c>
      <c r="K40" t="s">
        <v>72</v>
      </c>
      <c r="L40" t="s">
        <v>74</v>
      </c>
      <c r="M40">
        <v>1</v>
      </c>
      <c r="N40"/>
      <c r="O40"/>
      <c r="P40" s="17">
        <f>Table11[[#This Row],[Gain/Loss]]</f>
        <v>1</v>
      </c>
      <c r="Q40" s="17">
        <f>IF(Table11[[#This Row],[Direction]]="L",0.5,IF(Table11[[#This Row],[Direction]]="M",1.5,2.5))</f>
        <v>0.5</v>
      </c>
      <c r="R40" s="17" t="str">
        <f>IF(Table11[[#This Row],[Direction]]="R","Right",IF(Table11[[#This Row],[Direction]]="L","Left","Middle"))</f>
        <v>Left</v>
      </c>
      <c r="S40" s="17">
        <f>IF(Table11[[#This Row],[Pass Zone]]="S",0.5,IF(Table11[[#This Row],[Pass Zone]]="M",1.5,2.5))</f>
        <v>2.5</v>
      </c>
      <c r="T40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40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40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40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Red Zone</v>
      </c>
      <c r="Y40"/>
    </row>
    <row r="41" spans="1:25" x14ac:dyDescent="0.25">
      <c r="A41">
        <v>77</v>
      </c>
      <c r="B41">
        <v>2</v>
      </c>
      <c r="C41">
        <v>2</v>
      </c>
      <c r="D41">
        <v>9</v>
      </c>
      <c r="E41">
        <v>19</v>
      </c>
      <c r="F41">
        <v>19</v>
      </c>
      <c r="G41" t="s">
        <v>72</v>
      </c>
      <c r="J41" t="s">
        <v>12</v>
      </c>
      <c r="K41" t="s">
        <v>72</v>
      </c>
      <c r="L41" t="s">
        <v>74</v>
      </c>
      <c r="M41">
        <v>1</v>
      </c>
      <c r="N41"/>
      <c r="O41"/>
      <c r="P41" s="17">
        <f>Table11[[#This Row],[Gain/Loss]]</f>
        <v>19</v>
      </c>
      <c r="Q41" s="17">
        <f>IF(Table11[[#This Row],[Direction]]="L",0.5,IF(Table11[[#This Row],[Direction]]="M",1.5,2.5))</f>
        <v>0.5</v>
      </c>
      <c r="R41" s="17" t="str">
        <f>IF(Table11[[#This Row],[Direction]]="R","Right",IF(Table11[[#This Row],[Direction]]="L","Left","Middle"))</f>
        <v>Left</v>
      </c>
      <c r="S41" s="17">
        <f>IF(Table11[[#This Row],[Pass Zone]]="S",0.5,IF(Table11[[#This Row],[Pass Zone]]="M",1.5,2.5))</f>
        <v>2.5</v>
      </c>
      <c r="T41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41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41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03:  2nd &amp; 8+</v>
      </c>
      <c r="W41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Red Zone</v>
      </c>
      <c r="Y41"/>
    </row>
    <row r="42" spans="1:25" x14ac:dyDescent="0.25">
      <c r="A42">
        <v>85</v>
      </c>
      <c r="B42">
        <v>1</v>
      </c>
      <c r="C42">
        <v>1</v>
      </c>
      <c r="D42">
        <v>10</v>
      </c>
      <c r="E42">
        <v>-28</v>
      </c>
      <c r="F42">
        <v>16</v>
      </c>
      <c r="G42" t="s">
        <v>66</v>
      </c>
      <c r="J42" t="s">
        <v>12</v>
      </c>
      <c r="K42" t="s">
        <v>72</v>
      </c>
      <c r="L42" t="s">
        <v>74</v>
      </c>
      <c r="M42">
        <v>1</v>
      </c>
      <c r="N42"/>
      <c r="O42"/>
      <c r="P42" s="17">
        <f>Table11[[#This Row],[Gain/Loss]]</f>
        <v>16</v>
      </c>
      <c r="Q42" s="17">
        <f>IF(Table11[[#This Row],[Direction]]="L",0.5,IF(Table11[[#This Row],[Direction]]="M",1.5,2.5))</f>
        <v>0.5</v>
      </c>
      <c r="R42" s="17" t="str">
        <f>IF(Table11[[#This Row],[Direction]]="R","Right",IF(Table11[[#This Row],[Direction]]="L","Left","Middle"))</f>
        <v>Left</v>
      </c>
      <c r="S42" s="17">
        <f>IF(Table11[[#This Row],[Pass Zone]]="S",0.5,IF(Table11[[#This Row],[Pass Zone]]="M",1.5,2.5))</f>
        <v>2.5</v>
      </c>
      <c r="T42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42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42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42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  <c r="Y42"/>
    </row>
    <row r="43" spans="1:25" x14ac:dyDescent="0.25">
      <c r="A43">
        <v>87</v>
      </c>
      <c r="B43">
        <v>1</v>
      </c>
      <c r="C43">
        <v>1</v>
      </c>
      <c r="D43">
        <v>15</v>
      </c>
      <c r="E43">
        <v>-39</v>
      </c>
      <c r="F43">
        <v>2</v>
      </c>
      <c r="G43" t="s">
        <v>72</v>
      </c>
      <c r="J43" t="s">
        <v>12</v>
      </c>
      <c r="K43" t="s">
        <v>66</v>
      </c>
      <c r="L43" t="s">
        <v>74</v>
      </c>
      <c r="M43">
        <v>1</v>
      </c>
      <c r="N43"/>
      <c r="O43"/>
      <c r="P43" s="17">
        <f>Table11[[#This Row],[Gain/Loss]]</f>
        <v>2</v>
      </c>
      <c r="Q43" s="17">
        <f>IF(Table11[[#This Row],[Direction]]="L",0.5,IF(Table11[[#This Row],[Direction]]="M",1.5,2.5))</f>
        <v>2.5</v>
      </c>
      <c r="R43" s="17" t="str">
        <f>IF(Table11[[#This Row],[Direction]]="R","Right",IF(Table11[[#This Row],[Direction]]="L","Left","Middle"))</f>
        <v>Right</v>
      </c>
      <c r="S43" s="17">
        <f>IF(Table11[[#This Row],[Pass Zone]]="S",0.5,IF(Table11[[#This Row],[Pass Zone]]="M",1.5,2.5))</f>
        <v>2.5</v>
      </c>
      <c r="T43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43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43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43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  <c r="Y43"/>
    </row>
    <row r="44" spans="1:25" x14ac:dyDescent="0.25">
      <c r="A44">
        <v>88</v>
      </c>
      <c r="B44">
        <v>2</v>
      </c>
      <c r="C44">
        <v>2</v>
      </c>
      <c r="D44">
        <v>13</v>
      </c>
      <c r="E44">
        <v>-41</v>
      </c>
      <c r="F44">
        <v>4</v>
      </c>
      <c r="G44" t="s">
        <v>66</v>
      </c>
      <c r="J44" t="s">
        <v>12</v>
      </c>
      <c r="K44" t="s">
        <v>72</v>
      </c>
      <c r="L44" t="s">
        <v>74</v>
      </c>
      <c r="M44">
        <v>1</v>
      </c>
      <c r="N44"/>
      <c r="O44"/>
      <c r="P44" s="17">
        <f>Table11[[#This Row],[Gain/Loss]]</f>
        <v>4</v>
      </c>
      <c r="Q44" s="17">
        <f>IF(Table11[[#This Row],[Direction]]="L",0.5,IF(Table11[[#This Row],[Direction]]="M",1.5,2.5))</f>
        <v>0.5</v>
      </c>
      <c r="R44" s="17" t="str">
        <f>IF(Table11[[#This Row],[Direction]]="R","Right",IF(Table11[[#This Row],[Direction]]="L","Left","Middle"))</f>
        <v>Left</v>
      </c>
      <c r="S44" s="17">
        <f>IF(Table11[[#This Row],[Pass Zone]]="S",0.5,IF(Table11[[#This Row],[Pass Zone]]="M",1.5,2.5))</f>
        <v>2.5</v>
      </c>
      <c r="T44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44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44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03:  2nd &amp; 8+</v>
      </c>
      <c r="W44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  <c r="Y44"/>
    </row>
    <row r="45" spans="1:25" x14ac:dyDescent="0.25">
      <c r="A45">
        <v>89</v>
      </c>
      <c r="B45">
        <v>3</v>
      </c>
      <c r="C45">
        <v>3</v>
      </c>
      <c r="D45">
        <v>9</v>
      </c>
      <c r="E45">
        <v>-45</v>
      </c>
      <c r="F45">
        <v>3</v>
      </c>
      <c r="G45" t="s">
        <v>72</v>
      </c>
      <c r="J45" t="s">
        <v>12</v>
      </c>
      <c r="K45" t="s">
        <v>66</v>
      </c>
      <c r="L45" t="s">
        <v>74</v>
      </c>
      <c r="M45">
        <v>1</v>
      </c>
      <c r="N45"/>
      <c r="O45"/>
      <c r="P45" s="17">
        <f>Table11[[#This Row],[Gain/Loss]]</f>
        <v>3</v>
      </c>
      <c r="Q45" s="17">
        <f>IF(Table11[[#This Row],[Direction]]="L",0.5,IF(Table11[[#This Row],[Direction]]="M",1.5,2.5))</f>
        <v>2.5</v>
      </c>
      <c r="R45" s="17" t="str">
        <f>IF(Table11[[#This Row],[Direction]]="R","Right",IF(Table11[[#This Row],[Direction]]="L","Left","Middle"))</f>
        <v>Right</v>
      </c>
      <c r="S45" s="17">
        <f>IF(Table11[[#This Row],[Pass Zone]]="S",0.5,IF(Table11[[#This Row],[Pass Zone]]="M",1.5,2.5))</f>
        <v>2.5</v>
      </c>
      <c r="T45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45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45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06:  3rd &amp; 8+</v>
      </c>
      <c r="W45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  <c r="Y45"/>
    </row>
    <row r="46" spans="1:25" x14ac:dyDescent="0.25">
      <c r="A46">
        <v>99</v>
      </c>
      <c r="B46">
        <v>1</v>
      </c>
      <c r="C46">
        <v>1</v>
      </c>
      <c r="D46">
        <v>10</v>
      </c>
      <c r="E46">
        <v>-40</v>
      </c>
      <c r="F46">
        <v>13</v>
      </c>
      <c r="G46" t="s">
        <v>72</v>
      </c>
      <c r="J46" t="s">
        <v>12</v>
      </c>
      <c r="K46" t="s">
        <v>66</v>
      </c>
      <c r="L46" t="s">
        <v>74</v>
      </c>
      <c r="M46">
        <v>1</v>
      </c>
      <c r="N46"/>
      <c r="O46"/>
      <c r="P46" s="17">
        <f>Table11[[#This Row],[Gain/Loss]]</f>
        <v>13</v>
      </c>
      <c r="Q46" s="17">
        <f>IF(Table11[[#This Row],[Direction]]="L",0.5,IF(Table11[[#This Row],[Direction]]="M",1.5,2.5))</f>
        <v>2.5</v>
      </c>
      <c r="R46" s="17" t="str">
        <f>IF(Table11[[#This Row],[Direction]]="R","Right",IF(Table11[[#This Row],[Direction]]="L","Left","Middle"))</f>
        <v>Right</v>
      </c>
      <c r="S46" s="17">
        <f>IF(Table11[[#This Row],[Pass Zone]]="S",0.5,IF(Table11[[#This Row],[Pass Zone]]="M",1.5,2.5))</f>
        <v>2.5</v>
      </c>
      <c r="T46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46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46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46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  <c r="Y46"/>
    </row>
    <row r="47" spans="1:25" x14ac:dyDescent="0.25">
      <c r="A47">
        <v>100</v>
      </c>
      <c r="B47">
        <v>1</v>
      </c>
      <c r="C47">
        <v>1</v>
      </c>
      <c r="D47">
        <v>10</v>
      </c>
      <c r="E47">
        <v>47</v>
      </c>
      <c r="F47">
        <v>4</v>
      </c>
      <c r="G47" t="s">
        <v>66</v>
      </c>
      <c r="J47" t="s">
        <v>12</v>
      </c>
      <c r="K47" t="s">
        <v>72</v>
      </c>
      <c r="L47" t="s">
        <v>74</v>
      </c>
      <c r="M47">
        <v>1</v>
      </c>
      <c r="N47"/>
      <c r="O47"/>
      <c r="P47" s="17">
        <f>Table11[[#This Row],[Gain/Loss]]</f>
        <v>4</v>
      </c>
      <c r="Q47" s="17">
        <f>IF(Table11[[#This Row],[Direction]]="L",0.5,IF(Table11[[#This Row],[Direction]]="M",1.5,2.5))</f>
        <v>0.5</v>
      </c>
      <c r="R47" s="17" t="str">
        <f>IF(Table11[[#This Row],[Direction]]="R","Right",IF(Table11[[#This Row],[Direction]]="L","Left","Middle"))</f>
        <v>Left</v>
      </c>
      <c r="S47" s="17">
        <f>IF(Table11[[#This Row],[Pass Zone]]="S",0.5,IF(Table11[[#This Row],[Pass Zone]]="M",1.5,2.5))</f>
        <v>2.5</v>
      </c>
      <c r="T47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47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47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47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  <c r="Y47"/>
    </row>
    <row r="48" spans="1:25" x14ac:dyDescent="0.25">
      <c r="A48">
        <v>101</v>
      </c>
      <c r="B48">
        <v>2</v>
      </c>
      <c r="C48">
        <v>2</v>
      </c>
      <c r="D48">
        <v>6</v>
      </c>
      <c r="E48">
        <v>43</v>
      </c>
      <c r="F48">
        <v>13</v>
      </c>
      <c r="G48" t="s">
        <v>72</v>
      </c>
      <c r="J48" t="s">
        <v>12</v>
      </c>
      <c r="K48" t="s">
        <v>66</v>
      </c>
      <c r="L48" t="s">
        <v>74</v>
      </c>
      <c r="M48">
        <v>1</v>
      </c>
      <c r="N48"/>
      <c r="O48"/>
      <c r="P48" s="17">
        <f>Table11[[#This Row],[Gain/Loss]]</f>
        <v>13</v>
      </c>
      <c r="Q48" s="17">
        <f>IF(Table11[[#This Row],[Direction]]="L",0.5,IF(Table11[[#This Row],[Direction]]="M",1.5,2.5))</f>
        <v>2.5</v>
      </c>
      <c r="R48" s="17" t="str">
        <f>IF(Table11[[#This Row],[Direction]]="R","Right",IF(Table11[[#This Row],[Direction]]="L","Left","Middle"))</f>
        <v>Right</v>
      </c>
      <c r="S48" s="17">
        <f>IF(Table11[[#This Row],[Pass Zone]]="S",0.5,IF(Table11[[#This Row],[Pass Zone]]="M",1.5,2.5))</f>
        <v>2.5</v>
      </c>
      <c r="T48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48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48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04:  2nd &amp; 4 - 7</v>
      </c>
      <c r="W48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  <c r="Y48"/>
    </row>
    <row r="49" spans="1:25" x14ac:dyDescent="0.25">
      <c r="A49">
        <v>102</v>
      </c>
      <c r="B49">
        <v>1</v>
      </c>
      <c r="C49">
        <v>1</v>
      </c>
      <c r="D49">
        <v>10</v>
      </c>
      <c r="E49">
        <v>30</v>
      </c>
      <c r="F49">
        <v>-1</v>
      </c>
      <c r="G49" t="s">
        <v>66</v>
      </c>
      <c r="J49" t="s">
        <v>12</v>
      </c>
      <c r="K49" t="s">
        <v>66</v>
      </c>
      <c r="L49" t="s">
        <v>74</v>
      </c>
      <c r="M49">
        <v>1</v>
      </c>
      <c r="N49"/>
      <c r="O49"/>
      <c r="P49" s="17">
        <f>Table11[[#This Row],[Gain/Loss]]</f>
        <v>-1</v>
      </c>
      <c r="Q49" s="17">
        <f>IF(Table11[[#This Row],[Direction]]="L",0.5,IF(Table11[[#This Row],[Direction]]="M",1.5,2.5))</f>
        <v>2.5</v>
      </c>
      <c r="R49" s="17" t="str">
        <f>IF(Table11[[#This Row],[Direction]]="R","Right",IF(Table11[[#This Row],[Direction]]="L","Left","Middle"))</f>
        <v>Right</v>
      </c>
      <c r="S49" s="17">
        <f>IF(Table11[[#This Row],[Pass Zone]]="S",0.5,IF(Table11[[#This Row],[Pass Zone]]="M",1.5,2.5))</f>
        <v>2.5</v>
      </c>
      <c r="T49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49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49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49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  <c r="Y49"/>
    </row>
    <row r="50" spans="1:25" x14ac:dyDescent="0.25">
      <c r="A50">
        <v>103</v>
      </c>
      <c r="B50">
        <v>2</v>
      </c>
      <c r="C50">
        <v>2</v>
      </c>
      <c r="D50">
        <v>11</v>
      </c>
      <c r="E50">
        <v>31</v>
      </c>
      <c r="F50">
        <v>0</v>
      </c>
      <c r="G50" t="s">
        <v>66</v>
      </c>
      <c r="J50" t="s">
        <v>12</v>
      </c>
      <c r="K50" t="s">
        <v>66</v>
      </c>
      <c r="L50" t="s">
        <v>74</v>
      </c>
      <c r="M50">
        <v>1</v>
      </c>
      <c r="N50"/>
      <c r="O50"/>
      <c r="P50" s="17">
        <f>Table11[[#This Row],[Gain/Loss]]</f>
        <v>0</v>
      </c>
      <c r="Q50" s="17">
        <f>IF(Table11[[#This Row],[Direction]]="L",0.5,IF(Table11[[#This Row],[Direction]]="M",1.5,2.5))</f>
        <v>2.5</v>
      </c>
      <c r="R50" s="17" t="str">
        <f>IF(Table11[[#This Row],[Direction]]="R","Right",IF(Table11[[#This Row],[Direction]]="L","Left","Middle"))</f>
        <v>Right</v>
      </c>
      <c r="S50" s="17">
        <f>IF(Table11[[#This Row],[Pass Zone]]="S",0.5,IF(Table11[[#This Row],[Pass Zone]]="M",1.5,2.5))</f>
        <v>2.5</v>
      </c>
      <c r="T50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50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50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03:  2nd &amp; 8+</v>
      </c>
      <c r="W50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  <c r="Y50"/>
    </row>
    <row r="51" spans="1:25" x14ac:dyDescent="0.25">
      <c r="A51">
        <v>105</v>
      </c>
      <c r="B51">
        <v>1</v>
      </c>
      <c r="C51">
        <v>1</v>
      </c>
      <c r="D51">
        <v>10</v>
      </c>
      <c r="E51">
        <v>31</v>
      </c>
      <c r="F51">
        <v>9</v>
      </c>
      <c r="G51" t="s">
        <v>66</v>
      </c>
      <c r="J51" t="s">
        <v>12</v>
      </c>
      <c r="K51" t="s">
        <v>66</v>
      </c>
      <c r="L51" t="s">
        <v>74</v>
      </c>
      <c r="M51">
        <v>1</v>
      </c>
      <c r="N51"/>
      <c r="O51"/>
      <c r="P51" s="17">
        <f>Table11[[#This Row],[Gain/Loss]]</f>
        <v>9</v>
      </c>
      <c r="Q51" s="17">
        <f>IF(Table11[[#This Row],[Direction]]="L",0.5,IF(Table11[[#This Row],[Direction]]="M",1.5,2.5))</f>
        <v>2.5</v>
      </c>
      <c r="R51" s="17" t="str">
        <f>IF(Table11[[#This Row],[Direction]]="R","Right",IF(Table11[[#This Row],[Direction]]="L","Left","Middle"))</f>
        <v>Right</v>
      </c>
      <c r="S51" s="17">
        <f>IF(Table11[[#This Row],[Pass Zone]]="S",0.5,IF(Table11[[#This Row],[Pass Zone]]="M",1.5,2.5))</f>
        <v>2.5</v>
      </c>
      <c r="T51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51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51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51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  <c r="Y51"/>
    </row>
    <row r="52" spans="1:25" x14ac:dyDescent="0.25">
      <c r="A52">
        <v>106</v>
      </c>
      <c r="B52">
        <v>2</v>
      </c>
      <c r="C52">
        <v>2</v>
      </c>
      <c r="D52">
        <v>1</v>
      </c>
      <c r="E52">
        <v>22</v>
      </c>
      <c r="F52">
        <v>13</v>
      </c>
      <c r="G52" t="s">
        <v>66</v>
      </c>
      <c r="J52" t="s">
        <v>12</v>
      </c>
      <c r="K52" t="s">
        <v>66</v>
      </c>
      <c r="L52" t="s">
        <v>74</v>
      </c>
      <c r="M52">
        <v>1</v>
      </c>
      <c r="N52"/>
      <c r="O52"/>
      <c r="P52" s="17">
        <f>Table11[[#This Row],[Gain/Loss]]</f>
        <v>13</v>
      </c>
      <c r="Q52" s="17">
        <f>IF(Table11[[#This Row],[Direction]]="L",0.5,IF(Table11[[#This Row],[Direction]]="M",1.5,2.5))</f>
        <v>2.5</v>
      </c>
      <c r="R52" s="17" t="str">
        <f>IF(Table11[[#This Row],[Direction]]="R","Right",IF(Table11[[#This Row],[Direction]]="L","Left","Middle"))</f>
        <v>Right</v>
      </c>
      <c r="S52" s="17">
        <f>IF(Table11[[#This Row],[Pass Zone]]="S",0.5,IF(Table11[[#This Row],[Pass Zone]]="M",1.5,2.5))</f>
        <v>2.5</v>
      </c>
      <c r="T52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52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52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05:  2nd &amp; &lt; 4</v>
      </c>
      <c r="W52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  <c r="Y52"/>
    </row>
    <row r="53" spans="1:25" x14ac:dyDescent="0.25">
      <c r="A53">
        <v>108</v>
      </c>
      <c r="B53">
        <v>1</v>
      </c>
      <c r="C53">
        <v>1</v>
      </c>
      <c r="D53">
        <v>4</v>
      </c>
      <c r="E53">
        <v>4</v>
      </c>
      <c r="F53">
        <v>-1</v>
      </c>
      <c r="G53" t="s">
        <v>66</v>
      </c>
      <c r="J53" t="s">
        <v>12</v>
      </c>
      <c r="K53" t="s">
        <v>72</v>
      </c>
      <c r="L53" t="s">
        <v>74</v>
      </c>
      <c r="M53">
        <v>1</v>
      </c>
      <c r="N53"/>
      <c r="O53"/>
      <c r="P53" s="17">
        <f>Table11[[#This Row],[Gain/Loss]]</f>
        <v>-1</v>
      </c>
      <c r="Q53" s="17">
        <f>IF(Table11[[#This Row],[Direction]]="L",0.5,IF(Table11[[#This Row],[Direction]]="M",1.5,2.5))</f>
        <v>0.5</v>
      </c>
      <c r="R53" s="17" t="str">
        <f>IF(Table11[[#This Row],[Direction]]="R","Right",IF(Table11[[#This Row],[Direction]]="L","Left","Middle"))</f>
        <v>Left</v>
      </c>
      <c r="S53" s="17">
        <f>IF(Table11[[#This Row],[Pass Zone]]="S",0.5,IF(Table11[[#This Row],[Pass Zone]]="M",1.5,2.5))</f>
        <v>2.5</v>
      </c>
      <c r="T53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53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53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02:  1st &amp; &lt; 10</v>
      </c>
      <c r="W53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Red Zone</v>
      </c>
      <c r="Y53"/>
    </row>
    <row r="54" spans="1:25" x14ac:dyDescent="0.25">
      <c r="A54">
        <v>109</v>
      </c>
      <c r="B54">
        <v>2</v>
      </c>
      <c r="C54">
        <v>2</v>
      </c>
      <c r="D54">
        <v>5</v>
      </c>
      <c r="E54">
        <v>5</v>
      </c>
      <c r="F54">
        <v>5</v>
      </c>
      <c r="G54" t="s">
        <v>70</v>
      </c>
      <c r="J54" t="s">
        <v>12</v>
      </c>
      <c r="K54" t="s">
        <v>72</v>
      </c>
      <c r="L54" t="s">
        <v>74</v>
      </c>
      <c r="M54">
        <v>1</v>
      </c>
      <c r="N54"/>
      <c r="O54"/>
      <c r="P54" s="17">
        <f>Table11[[#This Row],[Gain/Loss]]</f>
        <v>5</v>
      </c>
      <c r="Q54" s="17">
        <f>IF(Table11[[#This Row],[Direction]]="L",0.5,IF(Table11[[#This Row],[Direction]]="M",1.5,2.5))</f>
        <v>0.5</v>
      </c>
      <c r="R54" s="17" t="str">
        <f>IF(Table11[[#This Row],[Direction]]="R","Right",IF(Table11[[#This Row],[Direction]]="L","Left","Middle"))</f>
        <v>Left</v>
      </c>
      <c r="S54" s="17">
        <f>IF(Table11[[#This Row],[Pass Zone]]="S",0.5,IF(Table11[[#This Row],[Pass Zone]]="M",1.5,2.5))</f>
        <v>2.5</v>
      </c>
      <c r="T54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54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54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04:  2nd &amp; 4 - 7</v>
      </c>
      <c r="W54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Red Zone</v>
      </c>
      <c r="Y54"/>
    </row>
    <row r="55" spans="1:25" x14ac:dyDescent="0.25">
      <c r="A55">
        <v>122</v>
      </c>
      <c r="B55">
        <v>1</v>
      </c>
      <c r="C55">
        <v>1</v>
      </c>
      <c r="D55">
        <v>10</v>
      </c>
      <c r="E55">
        <v>-1</v>
      </c>
      <c r="F55">
        <v>0</v>
      </c>
      <c r="G55" t="s">
        <v>72</v>
      </c>
      <c r="J55" t="s">
        <v>13</v>
      </c>
      <c r="K55" t="s">
        <v>66</v>
      </c>
      <c r="L55"/>
      <c r="M55">
        <v>1</v>
      </c>
      <c r="N55">
        <v>0</v>
      </c>
      <c r="O55"/>
      <c r="P55" s="17">
        <f>Table11[[#This Row],[Gain/Loss]]</f>
        <v>0</v>
      </c>
      <c r="Q55" s="17">
        <f>IF(Table11[[#This Row],[Direction]]="L",0.5,IF(Table11[[#This Row],[Direction]]="M",1.5,2.5))</f>
        <v>2.5</v>
      </c>
      <c r="R55" s="17" t="str">
        <f>IF(Table11[[#This Row],[Direction]]="R","Right",IF(Table11[[#This Row],[Direction]]="L","Left","Middle"))</f>
        <v>Right</v>
      </c>
      <c r="S55" s="17">
        <f>IF(Table11[[#This Row],[Pass Zone]]="S",0.5,IF(Table11[[#This Row],[Pass Zone]]="M",1.5,2.5))</f>
        <v>2.5</v>
      </c>
      <c r="T55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55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55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55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Goal Line</v>
      </c>
      <c r="Y55"/>
    </row>
    <row r="56" spans="1:25" x14ac:dyDescent="0.25">
      <c r="A56">
        <v>123</v>
      </c>
      <c r="B56">
        <v>2</v>
      </c>
      <c r="C56">
        <v>2</v>
      </c>
      <c r="D56">
        <v>10</v>
      </c>
      <c r="E56">
        <v>-1</v>
      </c>
      <c r="F56">
        <v>1</v>
      </c>
      <c r="G56" t="s">
        <v>72</v>
      </c>
      <c r="J56" t="s">
        <v>12</v>
      </c>
      <c r="K56" t="s">
        <v>66</v>
      </c>
      <c r="L56" t="s">
        <v>74</v>
      </c>
      <c r="M56">
        <v>1</v>
      </c>
      <c r="N56"/>
      <c r="O56"/>
      <c r="P56" s="17">
        <f>Table11[[#This Row],[Gain/Loss]]</f>
        <v>1</v>
      </c>
      <c r="Q56" s="17">
        <f>IF(Table11[[#This Row],[Direction]]="L",0.5,IF(Table11[[#This Row],[Direction]]="M",1.5,2.5))</f>
        <v>2.5</v>
      </c>
      <c r="R56" s="17" t="str">
        <f>IF(Table11[[#This Row],[Direction]]="R","Right",IF(Table11[[#This Row],[Direction]]="L","Left","Middle"))</f>
        <v>Right</v>
      </c>
      <c r="S56" s="17">
        <f>IF(Table11[[#This Row],[Pass Zone]]="S",0.5,IF(Table11[[#This Row],[Pass Zone]]="M",1.5,2.5))</f>
        <v>2.5</v>
      </c>
      <c r="T56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56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56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03:  2nd &amp; 8+</v>
      </c>
      <c r="W56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Goal Line</v>
      </c>
      <c r="Y56"/>
    </row>
    <row r="57" spans="1:25" x14ac:dyDescent="0.25">
      <c r="A57">
        <v>129</v>
      </c>
      <c r="B57">
        <v>1</v>
      </c>
      <c r="C57">
        <v>1</v>
      </c>
      <c r="D57">
        <v>10</v>
      </c>
      <c r="E57">
        <v>10</v>
      </c>
      <c r="F57">
        <v>4</v>
      </c>
      <c r="G57" t="s">
        <v>66</v>
      </c>
      <c r="J57" t="s">
        <v>12</v>
      </c>
      <c r="K57" t="s">
        <v>72</v>
      </c>
      <c r="L57" t="s">
        <v>74</v>
      </c>
      <c r="M57">
        <v>1</v>
      </c>
      <c r="N57"/>
      <c r="O57"/>
      <c r="P57" s="17">
        <f>Table11[[#This Row],[Gain/Loss]]</f>
        <v>4</v>
      </c>
      <c r="Q57" s="17">
        <f>IF(Table11[[#This Row],[Direction]]="L",0.5,IF(Table11[[#This Row],[Direction]]="M",1.5,2.5))</f>
        <v>0.5</v>
      </c>
      <c r="R57" s="17" t="str">
        <f>IF(Table11[[#This Row],[Direction]]="R","Right",IF(Table11[[#This Row],[Direction]]="L","Left","Middle"))</f>
        <v>Left</v>
      </c>
      <c r="S57" s="17">
        <f>IF(Table11[[#This Row],[Pass Zone]]="S",0.5,IF(Table11[[#This Row],[Pass Zone]]="M",1.5,2.5))</f>
        <v>2.5</v>
      </c>
      <c r="T57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57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57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57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Red Zone</v>
      </c>
      <c r="Y57"/>
    </row>
    <row r="58" spans="1:25" x14ac:dyDescent="0.25">
      <c r="A58">
        <v>130</v>
      </c>
      <c r="B58">
        <v>2</v>
      </c>
      <c r="C58">
        <v>2</v>
      </c>
      <c r="D58">
        <v>6</v>
      </c>
      <c r="E58">
        <v>6</v>
      </c>
      <c r="F58">
        <v>0</v>
      </c>
      <c r="G58" t="s">
        <v>72</v>
      </c>
      <c r="J58" t="s">
        <v>12</v>
      </c>
      <c r="K58" t="s">
        <v>66</v>
      </c>
      <c r="L58" t="s">
        <v>74</v>
      </c>
      <c r="M58">
        <v>1</v>
      </c>
      <c r="N58"/>
      <c r="O58"/>
      <c r="P58" s="17">
        <f>Table11[[#This Row],[Gain/Loss]]</f>
        <v>0</v>
      </c>
      <c r="Q58" s="17">
        <f>IF(Table11[[#This Row],[Direction]]="L",0.5,IF(Table11[[#This Row],[Direction]]="M",1.5,2.5))</f>
        <v>2.5</v>
      </c>
      <c r="R58" s="17" t="str">
        <f>IF(Table11[[#This Row],[Direction]]="R","Right",IF(Table11[[#This Row],[Direction]]="L","Left","Middle"))</f>
        <v>Right</v>
      </c>
      <c r="S58" s="17">
        <f>IF(Table11[[#This Row],[Pass Zone]]="S",0.5,IF(Table11[[#This Row],[Pass Zone]]="M",1.5,2.5))</f>
        <v>2.5</v>
      </c>
      <c r="T58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58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58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04:  2nd &amp; 4 - 7</v>
      </c>
      <c r="W58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Red Zone</v>
      </c>
      <c r="Y58"/>
    </row>
    <row r="59" spans="1:25" x14ac:dyDescent="0.25">
      <c r="A59">
        <v>131</v>
      </c>
      <c r="B59">
        <v>3</v>
      </c>
      <c r="C59">
        <v>3</v>
      </c>
      <c r="D59">
        <v>6</v>
      </c>
      <c r="E59">
        <v>6</v>
      </c>
      <c r="F59">
        <v>3</v>
      </c>
      <c r="G59" t="s">
        <v>72</v>
      </c>
      <c r="J59" t="s">
        <v>12</v>
      </c>
      <c r="K59" t="s">
        <v>66</v>
      </c>
      <c r="L59" t="s">
        <v>74</v>
      </c>
      <c r="M59">
        <v>1</v>
      </c>
      <c r="N59"/>
      <c r="O59"/>
      <c r="P59" s="17">
        <f>Table11[[#This Row],[Gain/Loss]]</f>
        <v>3</v>
      </c>
      <c r="Q59" s="17">
        <f>IF(Table11[[#This Row],[Direction]]="L",0.5,IF(Table11[[#This Row],[Direction]]="M",1.5,2.5))</f>
        <v>2.5</v>
      </c>
      <c r="R59" s="17" t="str">
        <f>IF(Table11[[#This Row],[Direction]]="R","Right",IF(Table11[[#This Row],[Direction]]="L","Left","Middle"))</f>
        <v>Right</v>
      </c>
      <c r="S59" s="17">
        <f>IF(Table11[[#This Row],[Pass Zone]]="S",0.5,IF(Table11[[#This Row],[Pass Zone]]="M",1.5,2.5))</f>
        <v>2.5</v>
      </c>
      <c r="T59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59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59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07:  3rd &amp; 4 - 7</v>
      </c>
      <c r="W59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Red Zone</v>
      </c>
      <c r="Y59"/>
    </row>
    <row r="60" spans="1:25" x14ac:dyDescent="0.25">
      <c r="A60">
        <v>132</v>
      </c>
      <c r="B60">
        <v>4</v>
      </c>
      <c r="C60">
        <v>4</v>
      </c>
      <c r="D60">
        <v>3</v>
      </c>
      <c r="E60">
        <v>3</v>
      </c>
      <c r="F60">
        <v>2</v>
      </c>
      <c r="G60" t="s">
        <v>66</v>
      </c>
      <c r="J60" t="s">
        <v>12</v>
      </c>
      <c r="K60" t="s">
        <v>66</v>
      </c>
      <c r="L60" t="s">
        <v>74</v>
      </c>
      <c r="M60">
        <v>1</v>
      </c>
      <c r="N60"/>
      <c r="O60"/>
      <c r="P60" s="17">
        <f>Table11[[#This Row],[Gain/Loss]]</f>
        <v>2</v>
      </c>
      <c r="Q60" s="17">
        <f>IF(Table11[[#This Row],[Direction]]="L",0.5,IF(Table11[[#This Row],[Direction]]="M",1.5,2.5))</f>
        <v>2.5</v>
      </c>
      <c r="R60" s="17" t="str">
        <f>IF(Table11[[#This Row],[Direction]]="R","Right",IF(Table11[[#This Row],[Direction]]="L","Left","Middle"))</f>
        <v>Right</v>
      </c>
      <c r="S60" s="17">
        <f>IF(Table11[[#This Row],[Pass Zone]]="S",0.5,IF(Table11[[#This Row],[Pass Zone]]="M",1.5,2.5))</f>
        <v>2.5</v>
      </c>
      <c r="T60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60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60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09:  4th &amp; 2+</v>
      </c>
      <c r="W60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Red Zone</v>
      </c>
      <c r="Y60"/>
    </row>
    <row r="61" spans="1:25" x14ac:dyDescent="0.25">
      <c r="A61">
        <v>139</v>
      </c>
      <c r="B61">
        <v>1</v>
      </c>
      <c r="C61">
        <v>1</v>
      </c>
      <c r="D61">
        <v>10</v>
      </c>
      <c r="E61">
        <v>-40</v>
      </c>
      <c r="F61">
        <v>2</v>
      </c>
      <c r="G61" t="s">
        <v>70</v>
      </c>
      <c r="J61" t="s">
        <v>12</v>
      </c>
      <c r="K61" t="s">
        <v>66</v>
      </c>
      <c r="L61" t="s">
        <v>74</v>
      </c>
      <c r="M61">
        <v>1</v>
      </c>
      <c r="N61"/>
      <c r="O61"/>
      <c r="P61" s="17">
        <f>Table11[[#This Row],[Gain/Loss]]</f>
        <v>2</v>
      </c>
      <c r="Q61" s="17">
        <f>IF(Table11[[#This Row],[Direction]]="L",0.5,IF(Table11[[#This Row],[Direction]]="M",1.5,2.5))</f>
        <v>2.5</v>
      </c>
      <c r="R61" s="17" t="str">
        <f>IF(Table11[[#This Row],[Direction]]="R","Right",IF(Table11[[#This Row],[Direction]]="L","Left","Middle"))</f>
        <v>Right</v>
      </c>
      <c r="S61" s="17">
        <f>IF(Table11[[#This Row],[Pass Zone]]="S",0.5,IF(Table11[[#This Row],[Pass Zone]]="M",1.5,2.5))</f>
        <v>2.5</v>
      </c>
      <c r="T61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61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61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61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  <c r="Y61"/>
    </row>
    <row r="62" spans="1:25" x14ac:dyDescent="0.25">
      <c r="A62">
        <v>140</v>
      </c>
      <c r="B62">
        <v>2</v>
      </c>
      <c r="C62">
        <v>2</v>
      </c>
      <c r="D62">
        <v>8</v>
      </c>
      <c r="E62">
        <v>-42</v>
      </c>
      <c r="F62">
        <v>0</v>
      </c>
      <c r="G62" t="s">
        <v>66</v>
      </c>
      <c r="J62" t="s">
        <v>13</v>
      </c>
      <c r="K62" t="s">
        <v>66</v>
      </c>
      <c r="L62"/>
      <c r="M62">
        <v>1</v>
      </c>
      <c r="N62">
        <v>0</v>
      </c>
      <c r="O62"/>
      <c r="P62" s="17">
        <f>Table11[[#This Row],[Gain/Loss]]</f>
        <v>0</v>
      </c>
      <c r="Q62" s="17">
        <f>IF(Table11[[#This Row],[Direction]]="L",0.5,IF(Table11[[#This Row],[Direction]]="M",1.5,2.5))</f>
        <v>2.5</v>
      </c>
      <c r="R62" s="17" t="str">
        <f>IF(Table11[[#This Row],[Direction]]="R","Right",IF(Table11[[#This Row],[Direction]]="L","Left","Middle"))</f>
        <v>Right</v>
      </c>
      <c r="S62" s="17">
        <f>IF(Table11[[#This Row],[Pass Zone]]="S",0.5,IF(Table11[[#This Row],[Pass Zone]]="M",1.5,2.5))</f>
        <v>2.5</v>
      </c>
      <c r="T62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62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62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03:  2nd &amp; 8+</v>
      </c>
      <c r="W62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  <c r="Y62"/>
    </row>
    <row r="63" spans="1:25" x14ac:dyDescent="0.25">
      <c r="A63">
        <v>5</v>
      </c>
      <c r="B63">
        <v>1</v>
      </c>
      <c r="C63">
        <v>1</v>
      </c>
      <c r="D63">
        <v>5</v>
      </c>
      <c r="E63">
        <v>46</v>
      </c>
      <c r="F63">
        <v>25</v>
      </c>
      <c r="G63" t="s">
        <v>72</v>
      </c>
      <c r="J63" t="s">
        <v>12</v>
      </c>
      <c r="K63" t="s">
        <v>66</v>
      </c>
      <c r="L63" t="s">
        <v>74</v>
      </c>
      <c r="M63">
        <v>1</v>
      </c>
      <c r="N63"/>
      <c r="O63"/>
      <c r="P63" s="17">
        <f>Table11[[#This Row],[Gain/Loss]]</f>
        <v>25</v>
      </c>
      <c r="Q63" s="17">
        <f>IF(Table11[[#This Row],[Direction]]="L",0.5,IF(Table11[[#This Row],[Direction]]="M",1.5,2.5))</f>
        <v>2.5</v>
      </c>
      <c r="R63" s="17" t="str">
        <f>IF(Table11[[#This Row],[Direction]]="R","Right",IF(Table11[[#This Row],[Direction]]="L","Left","Middle"))</f>
        <v>Right</v>
      </c>
      <c r="S63" s="17">
        <f>IF(Table11[[#This Row],[Pass Zone]]="S",0.5,IF(Table11[[#This Row],[Pass Zone]]="M",1.5,2.5))</f>
        <v>2.5</v>
      </c>
      <c r="T63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63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63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02:  1st &amp; &lt; 10</v>
      </c>
      <c r="W63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  <c r="Y63"/>
    </row>
    <row r="64" spans="1:25" x14ac:dyDescent="0.25">
      <c r="A64">
        <v>6</v>
      </c>
      <c r="B64">
        <v>1</v>
      </c>
      <c r="C64">
        <v>1</v>
      </c>
      <c r="D64">
        <v>10</v>
      </c>
      <c r="E64">
        <v>21</v>
      </c>
      <c r="F64">
        <v>6</v>
      </c>
      <c r="G64" t="s">
        <v>66</v>
      </c>
      <c r="J64" t="s">
        <v>12</v>
      </c>
      <c r="K64" t="s">
        <v>66</v>
      </c>
      <c r="L64" t="s">
        <v>74</v>
      </c>
      <c r="M64">
        <v>1</v>
      </c>
      <c r="N64"/>
      <c r="O64"/>
      <c r="P64" s="17">
        <f>Table11[[#This Row],[Gain/Loss]]</f>
        <v>6</v>
      </c>
      <c r="Q64" s="17">
        <f>IF(Table11[[#This Row],[Direction]]="L",0.5,IF(Table11[[#This Row],[Direction]]="M",1.5,2.5))</f>
        <v>2.5</v>
      </c>
      <c r="R64" s="17" t="str">
        <f>IF(Table11[[#This Row],[Direction]]="R","Right",IF(Table11[[#This Row],[Direction]]="L","Left","Middle"))</f>
        <v>Right</v>
      </c>
      <c r="S64" s="17">
        <f>IF(Table11[[#This Row],[Pass Zone]]="S",0.5,IF(Table11[[#This Row],[Pass Zone]]="M",1.5,2.5))</f>
        <v>2.5</v>
      </c>
      <c r="T64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64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64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64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  <c r="Y64"/>
    </row>
    <row r="65" spans="1:25" x14ac:dyDescent="0.25">
      <c r="A65">
        <v>7</v>
      </c>
      <c r="B65">
        <v>2</v>
      </c>
      <c r="C65">
        <v>2</v>
      </c>
      <c r="D65">
        <v>4</v>
      </c>
      <c r="E65">
        <v>15</v>
      </c>
      <c r="F65">
        <v>2</v>
      </c>
      <c r="G65" t="s">
        <v>66</v>
      </c>
      <c r="J65" t="s">
        <v>12</v>
      </c>
      <c r="K65" t="s">
        <v>72</v>
      </c>
      <c r="L65" t="s">
        <v>74</v>
      </c>
      <c r="M65">
        <v>1</v>
      </c>
      <c r="N65"/>
      <c r="O65"/>
      <c r="P65" s="17">
        <f>Table11[[#This Row],[Gain/Loss]]</f>
        <v>2</v>
      </c>
      <c r="Q65" s="17">
        <f>IF(Table11[[#This Row],[Direction]]="L",0.5,IF(Table11[[#This Row],[Direction]]="M",1.5,2.5))</f>
        <v>0.5</v>
      </c>
      <c r="R65" s="17" t="str">
        <f>IF(Table11[[#This Row],[Direction]]="R","Right",IF(Table11[[#This Row],[Direction]]="L","Left","Middle"))</f>
        <v>Left</v>
      </c>
      <c r="S65" s="17">
        <f>IF(Table11[[#This Row],[Pass Zone]]="S",0.5,IF(Table11[[#This Row],[Pass Zone]]="M",1.5,2.5))</f>
        <v>2.5</v>
      </c>
      <c r="T65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65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65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04:  2nd &amp; 4 - 7</v>
      </c>
      <c r="W65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Red Zone</v>
      </c>
      <c r="Y65"/>
    </row>
    <row r="66" spans="1:25" x14ac:dyDescent="0.25">
      <c r="A66">
        <v>9</v>
      </c>
      <c r="B66">
        <v>3</v>
      </c>
      <c r="C66">
        <v>3</v>
      </c>
      <c r="D66">
        <v>4</v>
      </c>
      <c r="E66">
        <v>15</v>
      </c>
      <c r="F66">
        <v>7</v>
      </c>
      <c r="G66" t="s">
        <v>72</v>
      </c>
      <c r="J66" t="s">
        <v>12</v>
      </c>
      <c r="K66" t="s">
        <v>66</v>
      </c>
      <c r="L66" t="s">
        <v>74</v>
      </c>
      <c r="M66">
        <v>1</v>
      </c>
      <c r="N66"/>
      <c r="O66"/>
      <c r="P66" s="17">
        <f>Table11[[#This Row],[Gain/Loss]]</f>
        <v>7</v>
      </c>
      <c r="Q66" s="17">
        <f>IF(Table11[[#This Row],[Direction]]="L",0.5,IF(Table11[[#This Row],[Direction]]="M",1.5,2.5))</f>
        <v>2.5</v>
      </c>
      <c r="R66" s="17" t="str">
        <f>IF(Table11[[#This Row],[Direction]]="R","Right",IF(Table11[[#This Row],[Direction]]="L","Left","Middle"))</f>
        <v>Right</v>
      </c>
      <c r="S66" s="17">
        <f>IF(Table11[[#This Row],[Pass Zone]]="S",0.5,IF(Table11[[#This Row],[Pass Zone]]="M",1.5,2.5))</f>
        <v>2.5</v>
      </c>
      <c r="T66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66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66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07:  3rd &amp; 4 - 7</v>
      </c>
      <c r="W66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Red Zone</v>
      </c>
      <c r="Y66"/>
    </row>
    <row r="67" spans="1:25" x14ac:dyDescent="0.25">
      <c r="A67">
        <v>10</v>
      </c>
      <c r="B67">
        <v>1</v>
      </c>
      <c r="C67">
        <v>1</v>
      </c>
      <c r="D67">
        <v>8</v>
      </c>
      <c r="E67">
        <v>8</v>
      </c>
      <c r="F67">
        <v>8</v>
      </c>
      <c r="G67" t="s">
        <v>70</v>
      </c>
      <c r="J67" t="s">
        <v>12</v>
      </c>
      <c r="K67" t="s">
        <v>72</v>
      </c>
      <c r="L67" t="s">
        <v>74</v>
      </c>
      <c r="M67">
        <v>1</v>
      </c>
      <c r="N67"/>
      <c r="O67"/>
      <c r="P67" s="17">
        <f>Table11[[#This Row],[Gain/Loss]]</f>
        <v>8</v>
      </c>
      <c r="Q67" s="17">
        <f>IF(Table11[[#This Row],[Direction]]="L",0.5,IF(Table11[[#This Row],[Direction]]="M",1.5,2.5))</f>
        <v>0.5</v>
      </c>
      <c r="R67" s="17" t="str">
        <f>IF(Table11[[#This Row],[Direction]]="R","Right",IF(Table11[[#This Row],[Direction]]="L","Left","Middle"))</f>
        <v>Left</v>
      </c>
      <c r="S67" s="17">
        <f>IF(Table11[[#This Row],[Pass Zone]]="S",0.5,IF(Table11[[#This Row],[Pass Zone]]="M",1.5,2.5))</f>
        <v>2.5</v>
      </c>
      <c r="T67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67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67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02:  1st &amp; &lt; 10</v>
      </c>
      <c r="W67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Red Zone</v>
      </c>
      <c r="Y67"/>
    </row>
    <row r="68" spans="1:25" x14ac:dyDescent="0.25">
      <c r="A68">
        <v>17</v>
      </c>
      <c r="B68">
        <v>1</v>
      </c>
      <c r="C68">
        <v>1</v>
      </c>
      <c r="D68">
        <v>10</v>
      </c>
      <c r="E68">
        <v>42</v>
      </c>
      <c r="F68">
        <v>4</v>
      </c>
      <c r="G68" t="s">
        <v>66</v>
      </c>
      <c r="J68" t="s">
        <v>12</v>
      </c>
      <c r="K68" t="s">
        <v>72</v>
      </c>
      <c r="L68" t="s">
        <v>74</v>
      </c>
      <c r="M68">
        <v>1</v>
      </c>
      <c r="N68"/>
      <c r="O68"/>
      <c r="P68" s="17">
        <f>Table11[[#This Row],[Gain/Loss]]</f>
        <v>4</v>
      </c>
      <c r="Q68" s="17">
        <f>IF(Table11[[#This Row],[Direction]]="L",0.5,IF(Table11[[#This Row],[Direction]]="M",1.5,2.5))</f>
        <v>0.5</v>
      </c>
      <c r="R68" s="17" t="str">
        <f>IF(Table11[[#This Row],[Direction]]="R","Right",IF(Table11[[#This Row],[Direction]]="L","Left","Middle"))</f>
        <v>Left</v>
      </c>
      <c r="S68" s="17">
        <f>IF(Table11[[#This Row],[Pass Zone]]="S",0.5,IF(Table11[[#This Row],[Pass Zone]]="M",1.5,2.5))</f>
        <v>2.5</v>
      </c>
      <c r="T68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68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68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68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  <c r="Y68"/>
    </row>
    <row r="69" spans="1:25" x14ac:dyDescent="0.25">
      <c r="A69">
        <v>18</v>
      </c>
      <c r="B69">
        <v>2</v>
      </c>
      <c r="C69">
        <v>2</v>
      </c>
      <c r="D69">
        <v>6</v>
      </c>
      <c r="E69">
        <v>38</v>
      </c>
      <c r="F69">
        <v>6</v>
      </c>
      <c r="G69" t="s">
        <v>66</v>
      </c>
      <c r="J69" t="s">
        <v>12</v>
      </c>
      <c r="K69" t="s">
        <v>72</v>
      </c>
      <c r="L69" t="s">
        <v>74</v>
      </c>
      <c r="M69">
        <v>1</v>
      </c>
      <c r="N69"/>
      <c r="O69"/>
      <c r="P69" s="17">
        <f>Table11[[#This Row],[Gain/Loss]]</f>
        <v>6</v>
      </c>
      <c r="Q69" s="17">
        <f>IF(Table11[[#This Row],[Direction]]="L",0.5,IF(Table11[[#This Row],[Direction]]="M",1.5,2.5))</f>
        <v>0.5</v>
      </c>
      <c r="R69" s="17" t="str">
        <f>IF(Table11[[#This Row],[Direction]]="R","Right",IF(Table11[[#This Row],[Direction]]="L","Left","Middle"))</f>
        <v>Left</v>
      </c>
      <c r="S69" s="17">
        <f>IF(Table11[[#This Row],[Pass Zone]]="S",0.5,IF(Table11[[#This Row],[Pass Zone]]="M",1.5,2.5))</f>
        <v>2.5</v>
      </c>
      <c r="T69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69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69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04:  2nd &amp; 4 - 7</v>
      </c>
      <c r="W69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  <c r="Y69"/>
    </row>
    <row r="70" spans="1:25" x14ac:dyDescent="0.25">
      <c r="A70">
        <v>20</v>
      </c>
      <c r="B70">
        <v>1</v>
      </c>
      <c r="C70">
        <v>1</v>
      </c>
      <c r="D70">
        <v>15</v>
      </c>
      <c r="E70">
        <v>37</v>
      </c>
      <c r="F70">
        <v>0</v>
      </c>
      <c r="G70" t="s">
        <v>72</v>
      </c>
      <c r="J70" t="s">
        <v>12</v>
      </c>
      <c r="K70" t="s">
        <v>66</v>
      </c>
      <c r="L70" t="s">
        <v>74</v>
      </c>
      <c r="M70">
        <v>1</v>
      </c>
      <c r="N70"/>
      <c r="O70"/>
      <c r="P70" s="17">
        <f>Table11[[#This Row],[Gain/Loss]]</f>
        <v>0</v>
      </c>
      <c r="Q70" s="17">
        <f>IF(Table11[[#This Row],[Direction]]="L",0.5,IF(Table11[[#This Row],[Direction]]="M",1.5,2.5))</f>
        <v>2.5</v>
      </c>
      <c r="R70" s="17" t="str">
        <f>IF(Table11[[#This Row],[Direction]]="R","Right",IF(Table11[[#This Row],[Direction]]="L","Left","Middle"))</f>
        <v>Right</v>
      </c>
      <c r="S70" s="17">
        <f>IF(Table11[[#This Row],[Pass Zone]]="S",0.5,IF(Table11[[#This Row],[Pass Zone]]="M",1.5,2.5))</f>
        <v>2.5</v>
      </c>
      <c r="T70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70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70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70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  <c r="Y70"/>
    </row>
    <row r="71" spans="1:25" x14ac:dyDescent="0.25">
      <c r="A71">
        <v>21</v>
      </c>
      <c r="B71">
        <v>2</v>
      </c>
      <c r="C71">
        <v>2</v>
      </c>
      <c r="D71">
        <v>15</v>
      </c>
      <c r="E71">
        <v>37</v>
      </c>
      <c r="F71">
        <v>-7</v>
      </c>
      <c r="G71" t="s">
        <v>66</v>
      </c>
      <c r="J71" t="s">
        <v>13</v>
      </c>
      <c r="K71" t="s">
        <v>70</v>
      </c>
      <c r="L71"/>
      <c r="M71">
        <v>1</v>
      </c>
      <c r="N71">
        <v>0</v>
      </c>
      <c r="O71" t="s">
        <v>67</v>
      </c>
      <c r="P71" s="17">
        <f>Table11[[#This Row],[Gain/Loss]]</f>
        <v>-7</v>
      </c>
      <c r="Q71" s="17">
        <f>IF(Table11[[#This Row],[Direction]]="L",0.5,IF(Table11[[#This Row],[Direction]]="M",1.5,2.5))</f>
        <v>1.5</v>
      </c>
      <c r="R71" s="17" t="str">
        <f>IF(Table11[[#This Row],[Direction]]="R","Right",IF(Table11[[#This Row],[Direction]]="L","Left","Middle"))</f>
        <v>Middle</v>
      </c>
      <c r="S71" s="17">
        <f>IF(Table11[[#This Row],[Pass Zone]]="S",0.5,IF(Table11[[#This Row],[Pass Zone]]="M",1.5,2.5))</f>
        <v>0.5</v>
      </c>
      <c r="T71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71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71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03:  2nd &amp; 8+</v>
      </c>
      <c r="W71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  <c r="Y71"/>
    </row>
    <row r="72" spans="1:25" x14ac:dyDescent="0.25">
      <c r="A72">
        <v>22</v>
      </c>
      <c r="B72">
        <v>3</v>
      </c>
      <c r="C72">
        <v>3</v>
      </c>
      <c r="D72">
        <v>22</v>
      </c>
      <c r="E72">
        <v>44</v>
      </c>
      <c r="F72">
        <v>0</v>
      </c>
      <c r="G72" t="s">
        <v>66</v>
      </c>
      <c r="J72" t="s">
        <v>12</v>
      </c>
      <c r="K72" t="s">
        <v>66</v>
      </c>
      <c r="L72" t="s">
        <v>74</v>
      </c>
      <c r="M72">
        <v>1</v>
      </c>
      <c r="N72"/>
      <c r="O72"/>
      <c r="P72" s="17">
        <f>Table11[[#This Row],[Gain/Loss]]</f>
        <v>0</v>
      </c>
      <c r="Q72" s="17">
        <f>IF(Table11[[#This Row],[Direction]]="L",0.5,IF(Table11[[#This Row],[Direction]]="M",1.5,2.5))</f>
        <v>2.5</v>
      </c>
      <c r="R72" s="17" t="str">
        <f>IF(Table11[[#This Row],[Direction]]="R","Right",IF(Table11[[#This Row],[Direction]]="L","Left","Middle"))</f>
        <v>Right</v>
      </c>
      <c r="S72" s="17">
        <f>IF(Table11[[#This Row],[Pass Zone]]="S",0.5,IF(Table11[[#This Row],[Pass Zone]]="M",1.5,2.5))</f>
        <v>2.5</v>
      </c>
      <c r="T72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72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72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06:  3rd &amp; 8+</v>
      </c>
      <c r="W72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  <c r="Y72"/>
    </row>
    <row r="73" spans="1:25" x14ac:dyDescent="0.25">
      <c r="A73">
        <v>34</v>
      </c>
      <c r="B73">
        <v>1</v>
      </c>
      <c r="C73">
        <v>1</v>
      </c>
      <c r="D73">
        <v>10</v>
      </c>
      <c r="E73">
        <v>-39</v>
      </c>
      <c r="F73">
        <v>7</v>
      </c>
      <c r="G73" t="s">
        <v>72</v>
      </c>
      <c r="J73" t="s">
        <v>12</v>
      </c>
      <c r="K73" t="s">
        <v>66</v>
      </c>
      <c r="L73" t="s">
        <v>74</v>
      </c>
      <c r="M73">
        <v>1</v>
      </c>
      <c r="N73"/>
      <c r="O73"/>
      <c r="P73" s="17">
        <f>Table11[[#This Row],[Gain/Loss]]</f>
        <v>7</v>
      </c>
      <c r="Q73" s="17">
        <f>IF(Table11[[#This Row],[Direction]]="L",0.5,IF(Table11[[#This Row],[Direction]]="M",1.5,2.5))</f>
        <v>2.5</v>
      </c>
      <c r="R73" s="17" t="str">
        <f>IF(Table11[[#This Row],[Direction]]="R","Right",IF(Table11[[#This Row],[Direction]]="L","Left","Middle"))</f>
        <v>Right</v>
      </c>
      <c r="S73" s="17">
        <f>IF(Table11[[#This Row],[Pass Zone]]="S",0.5,IF(Table11[[#This Row],[Pass Zone]]="M",1.5,2.5))</f>
        <v>2.5</v>
      </c>
      <c r="T73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73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73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73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  <c r="Y73"/>
    </row>
    <row r="74" spans="1:25" x14ac:dyDescent="0.25">
      <c r="A74">
        <v>35</v>
      </c>
      <c r="B74">
        <v>2</v>
      </c>
      <c r="C74">
        <v>2</v>
      </c>
      <c r="D74">
        <v>3</v>
      </c>
      <c r="E74">
        <v>-46</v>
      </c>
      <c r="F74">
        <v>5</v>
      </c>
      <c r="G74" t="s">
        <v>72</v>
      </c>
      <c r="J74" t="s">
        <v>12</v>
      </c>
      <c r="K74" t="s">
        <v>66</v>
      </c>
      <c r="L74" t="s">
        <v>74</v>
      </c>
      <c r="M74">
        <v>1</v>
      </c>
      <c r="N74"/>
      <c r="O74"/>
      <c r="P74" s="17">
        <f>Table11[[#This Row],[Gain/Loss]]</f>
        <v>5</v>
      </c>
      <c r="Q74" s="17">
        <f>IF(Table11[[#This Row],[Direction]]="L",0.5,IF(Table11[[#This Row],[Direction]]="M",1.5,2.5))</f>
        <v>2.5</v>
      </c>
      <c r="R74" s="17" t="str">
        <f>IF(Table11[[#This Row],[Direction]]="R","Right",IF(Table11[[#This Row],[Direction]]="L","Left","Middle"))</f>
        <v>Right</v>
      </c>
      <c r="S74" s="17">
        <f>IF(Table11[[#This Row],[Pass Zone]]="S",0.5,IF(Table11[[#This Row],[Pass Zone]]="M",1.5,2.5))</f>
        <v>2.5</v>
      </c>
      <c r="T74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74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74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05:  2nd &amp; &lt; 4</v>
      </c>
      <c r="W74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  <c r="Y74"/>
    </row>
    <row r="75" spans="1:25" x14ac:dyDescent="0.25">
      <c r="A75">
        <v>36</v>
      </c>
      <c r="B75">
        <v>1</v>
      </c>
      <c r="C75">
        <v>1</v>
      </c>
      <c r="D75">
        <v>10</v>
      </c>
      <c r="E75">
        <v>49</v>
      </c>
      <c r="F75">
        <v>49</v>
      </c>
      <c r="G75" t="s">
        <v>72</v>
      </c>
      <c r="J75" t="s">
        <v>12</v>
      </c>
      <c r="K75" t="s">
        <v>66</v>
      </c>
      <c r="L75" t="s">
        <v>74</v>
      </c>
      <c r="M75">
        <v>1</v>
      </c>
      <c r="N75"/>
      <c r="O75"/>
      <c r="P75" s="17">
        <f>Table11[[#This Row],[Gain/Loss]]</f>
        <v>49</v>
      </c>
      <c r="Q75" s="17">
        <f>IF(Table11[[#This Row],[Direction]]="L",0.5,IF(Table11[[#This Row],[Direction]]="M",1.5,2.5))</f>
        <v>2.5</v>
      </c>
      <c r="R75" s="17" t="str">
        <f>IF(Table11[[#This Row],[Direction]]="R","Right",IF(Table11[[#This Row],[Direction]]="L","Left","Middle"))</f>
        <v>Right</v>
      </c>
      <c r="S75" s="17">
        <f>IF(Table11[[#This Row],[Pass Zone]]="S",0.5,IF(Table11[[#This Row],[Pass Zone]]="M",1.5,2.5))</f>
        <v>2.5</v>
      </c>
      <c r="T75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75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75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75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  <c r="Y75"/>
    </row>
    <row r="76" spans="1:25" x14ac:dyDescent="0.25">
      <c r="A76">
        <v>47</v>
      </c>
      <c r="B76">
        <v>1</v>
      </c>
      <c r="C76">
        <v>1</v>
      </c>
      <c r="D76">
        <v>10</v>
      </c>
      <c r="E76">
        <v>43</v>
      </c>
      <c r="F76">
        <v>4</v>
      </c>
      <c r="G76" t="s">
        <v>72</v>
      </c>
      <c r="J76" t="s">
        <v>12</v>
      </c>
      <c r="K76" t="s">
        <v>66</v>
      </c>
      <c r="L76" t="s">
        <v>74</v>
      </c>
      <c r="M76">
        <v>1</v>
      </c>
      <c r="N76"/>
      <c r="O76"/>
      <c r="P76" s="17">
        <f>Table11[[#This Row],[Gain/Loss]]</f>
        <v>4</v>
      </c>
      <c r="Q76" s="17">
        <f>IF(Table11[[#This Row],[Direction]]="L",0.5,IF(Table11[[#This Row],[Direction]]="M",1.5,2.5))</f>
        <v>2.5</v>
      </c>
      <c r="R76" s="17" t="str">
        <f>IF(Table11[[#This Row],[Direction]]="R","Right",IF(Table11[[#This Row],[Direction]]="L","Left","Middle"))</f>
        <v>Right</v>
      </c>
      <c r="S76" s="17">
        <f>IF(Table11[[#This Row],[Pass Zone]]="S",0.5,IF(Table11[[#This Row],[Pass Zone]]="M",1.5,2.5))</f>
        <v>2.5</v>
      </c>
      <c r="T76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76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76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76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  <c r="Y76"/>
    </row>
    <row r="77" spans="1:25" x14ac:dyDescent="0.25">
      <c r="A77">
        <v>48</v>
      </c>
      <c r="B77">
        <v>2</v>
      </c>
      <c r="C77">
        <v>2</v>
      </c>
      <c r="D77">
        <v>6</v>
      </c>
      <c r="E77">
        <v>39</v>
      </c>
      <c r="F77">
        <v>3</v>
      </c>
      <c r="G77" t="s">
        <v>72</v>
      </c>
      <c r="J77" t="s">
        <v>12</v>
      </c>
      <c r="K77" t="s">
        <v>66</v>
      </c>
      <c r="L77" t="s">
        <v>74</v>
      </c>
      <c r="M77">
        <v>1</v>
      </c>
      <c r="N77"/>
      <c r="O77"/>
      <c r="P77" s="17">
        <f>Table11[[#This Row],[Gain/Loss]]</f>
        <v>3</v>
      </c>
      <c r="Q77" s="17">
        <f>IF(Table11[[#This Row],[Direction]]="L",0.5,IF(Table11[[#This Row],[Direction]]="M",1.5,2.5))</f>
        <v>2.5</v>
      </c>
      <c r="R77" s="17" t="str">
        <f>IF(Table11[[#This Row],[Direction]]="R","Right",IF(Table11[[#This Row],[Direction]]="L","Left","Middle"))</f>
        <v>Right</v>
      </c>
      <c r="S77" s="17">
        <f>IF(Table11[[#This Row],[Pass Zone]]="S",0.5,IF(Table11[[#This Row],[Pass Zone]]="M",1.5,2.5))</f>
        <v>2.5</v>
      </c>
      <c r="T77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77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77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04:  2nd &amp; 4 - 7</v>
      </c>
      <c r="W77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  <c r="Y77"/>
    </row>
    <row r="78" spans="1:25" x14ac:dyDescent="0.25">
      <c r="A78">
        <v>50</v>
      </c>
      <c r="B78">
        <v>3</v>
      </c>
      <c r="C78">
        <v>3</v>
      </c>
      <c r="D78">
        <v>3</v>
      </c>
      <c r="E78">
        <v>36</v>
      </c>
      <c r="F78">
        <v>1</v>
      </c>
      <c r="G78" t="s">
        <v>70</v>
      </c>
      <c r="J78" t="s">
        <v>12</v>
      </c>
      <c r="K78" t="s">
        <v>66</v>
      </c>
      <c r="L78" t="s">
        <v>74</v>
      </c>
      <c r="M78">
        <v>1</v>
      </c>
      <c r="N78"/>
      <c r="O78"/>
      <c r="P78" s="17">
        <f>Table11[[#This Row],[Gain/Loss]]</f>
        <v>1</v>
      </c>
      <c r="Q78" s="17">
        <f>IF(Table11[[#This Row],[Direction]]="L",0.5,IF(Table11[[#This Row],[Direction]]="M",1.5,2.5))</f>
        <v>2.5</v>
      </c>
      <c r="R78" s="17" t="str">
        <f>IF(Table11[[#This Row],[Direction]]="R","Right",IF(Table11[[#This Row],[Direction]]="L","Left","Middle"))</f>
        <v>Right</v>
      </c>
      <c r="S78" s="17">
        <f>IF(Table11[[#This Row],[Pass Zone]]="S",0.5,IF(Table11[[#This Row],[Pass Zone]]="M",1.5,2.5))</f>
        <v>2.5</v>
      </c>
      <c r="T78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78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78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08:  3rd &amp; &lt; 4</v>
      </c>
      <c r="W78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  <c r="Y78"/>
    </row>
    <row r="79" spans="1:25" x14ac:dyDescent="0.25">
      <c r="A79">
        <v>54</v>
      </c>
      <c r="B79">
        <v>1</v>
      </c>
      <c r="C79">
        <v>1</v>
      </c>
      <c r="D79">
        <v>10</v>
      </c>
      <c r="E79">
        <v>25</v>
      </c>
      <c r="F79">
        <v>6</v>
      </c>
      <c r="G79" t="s">
        <v>66</v>
      </c>
      <c r="J79" t="s">
        <v>12</v>
      </c>
      <c r="K79" t="s">
        <v>72</v>
      </c>
      <c r="L79" t="s">
        <v>74</v>
      </c>
      <c r="M79">
        <v>1</v>
      </c>
      <c r="N79"/>
      <c r="O79"/>
      <c r="P79" s="17">
        <f>Table11[[#This Row],[Gain/Loss]]</f>
        <v>6</v>
      </c>
      <c r="Q79" s="17">
        <f>IF(Table11[[#This Row],[Direction]]="L",0.5,IF(Table11[[#This Row],[Direction]]="M",1.5,2.5))</f>
        <v>0.5</v>
      </c>
      <c r="R79" s="17" t="str">
        <f>IF(Table11[[#This Row],[Direction]]="R","Right",IF(Table11[[#This Row],[Direction]]="L","Left","Middle"))</f>
        <v>Left</v>
      </c>
      <c r="S79" s="17">
        <f>IF(Table11[[#This Row],[Pass Zone]]="S",0.5,IF(Table11[[#This Row],[Pass Zone]]="M",1.5,2.5))</f>
        <v>2.5</v>
      </c>
      <c r="T79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79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79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79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  <c r="Y79"/>
    </row>
    <row r="80" spans="1:25" x14ac:dyDescent="0.25">
      <c r="A80">
        <v>56</v>
      </c>
      <c r="B80">
        <v>2</v>
      </c>
      <c r="C80">
        <v>2</v>
      </c>
      <c r="D80">
        <v>10</v>
      </c>
      <c r="E80">
        <v>14</v>
      </c>
      <c r="F80">
        <v>-2</v>
      </c>
      <c r="G80" t="s">
        <v>70</v>
      </c>
      <c r="J80" t="s">
        <v>12</v>
      </c>
      <c r="K80" t="s">
        <v>72</v>
      </c>
      <c r="L80" t="s">
        <v>74</v>
      </c>
      <c r="M80">
        <v>1</v>
      </c>
      <c r="N80"/>
      <c r="O80"/>
      <c r="P80" s="17">
        <f>Table11[[#This Row],[Gain/Loss]]</f>
        <v>-2</v>
      </c>
      <c r="Q80" s="17">
        <f>IF(Table11[[#This Row],[Direction]]="L",0.5,IF(Table11[[#This Row],[Direction]]="M",1.5,2.5))</f>
        <v>0.5</v>
      </c>
      <c r="R80" s="17" t="str">
        <f>IF(Table11[[#This Row],[Direction]]="R","Right",IF(Table11[[#This Row],[Direction]]="L","Left","Middle"))</f>
        <v>Left</v>
      </c>
      <c r="S80" s="17">
        <f>IF(Table11[[#This Row],[Pass Zone]]="S",0.5,IF(Table11[[#This Row],[Pass Zone]]="M",1.5,2.5))</f>
        <v>2.5</v>
      </c>
      <c r="T80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80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80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03:  2nd &amp; 8+</v>
      </c>
      <c r="W80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Red Zone</v>
      </c>
      <c r="Y80"/>
    </row>
    <row r="81" spans="1:25" x14ac:dyDescent="0.25">
      <c r="A81">
        <v>57</v>
      </c>
      <c r="B81">
        <v>3</v>
      </c>
      <c r="C81">
        <v>3</v>
      </c>
      <c r="D81">
        <v>12</v>
      </c>
      <c r="E81">
        <v>16</v>
      </c>
      <c r="F81">
        <v>-5</v>
      </c>
      <c r="G81" t="s">
        <v>70</v>
      </c>
      <c r="J81" t="s">
        <v>13</v>
      </c>
      <c r="K81" t="s">
        <v>66</v>
      </c>
      <c r="L81"/>
      <c r="M81">
        <v>1</v>
      </c>
      <c r="N81">
        <v>0</v>
      </c>
      <c r="O81"/>
      <c r="P81" s="17">
        <f>Table11[[#This Row],[Gain/Loss]]</f>
        <v>-5</v>
      </c>
      <c r="Q81" s="17">
        <f>IF(Table11[[#This Row],[Direction]]="L",0.5,IF(Table11[[#This Row],[Direction]]="M",1.5,2.5))</f>
        <v>2.5</v>
      </c>
      <c r="R81" s="17" t="str">
        <f>IF(Table11[[#This Row],[Direction]]="R","Right",IF(Table11[[#This Row],[Direction]]="L","Left","Middle"))</f>
        <v>Right</v>
      </c>
      <c r="S81" s="17">
        <f>IF(Table11[[#This Row],[Pass Zone]]="S",0.5,IF(Table11[[#This Row],[Pass Zone]]="M",1.5,2.5))</f>
        <v>2.5</v>
      </c>
      <c r="T81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81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81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06:  3rd &amp; 8+</v>
      </c>
      <c r="W81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Red Zone</v>
      </c>
      <c r="Y81"/>
    </row>
    <row r="82" spans="1:25" x14ac:dyDescent="0.25">
      <c r="A82">
        <v>58</v>
      </c>
      <c r="B82">
        <v>3</v>
      </c>
      <c r="C82">
        <v>3</v>
      </c>
      <c r="D82">
        <v>17</v>
      </c>
      <c r="E82">
        <v>21</v>
      </c>
      <c r="F82">
        <v>5</v>
      </c>
      <c r="G82" t="s">
        <v>70</v>
      </c>
      <c r="J82" t="s">
        <v>12</v>
      </c>
      <c r="K82" t="s">
        <v>72</v>
      </c>
      <c r="L82" t="s">
        <v>74</v>
      </c>
      <c r="M82">
        <v>1</v>
      </c>
      <c r="N82"/>
      <c r="O82"/>
      <c r="P82" s="17">
        <f>Table11[[#This Row],[Gain/Loss]]</f>
        <v>5</v>
      </c>
      <c r="Q82" s="17">
        <f>IF(Table11[[#This Row],[Direction]]="L",0.5,IF(Table11[[#This Row],[Direction]]="M",1.5,2.5))</f>
        <v>0.5</v>
      </c>
      <c r="R82" s="17" t="str">
        <f>IF(Table11[[#This Row],[Direction]]="R","Right",IF(Table11[[#This Row],[Direction]]="L","Left","Middle"))</f>
        <v>Left</v>
      </c>
      <c r="S82" s="17">
        <f>IF(Table11[[#This Row],[Pass Zone]]="S",0.5,IF(Table11[[#This Row],[Pass Zone]]="M",1.5,2.5))</f>
        <v>2.5</v>
      </c>
      <c r="T82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82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82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06:  3rd &amp; 8+</v>
      </c>
      <c r="W82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  <c r="Y82"/>
    </row>
    <row r="83" spans="1:25" x14ac:dyDescent="0.25">
      <c r="A83">
        <v>59</v>
      </c>
      <c r="B83">
        <v>4</v>
      </c>
      <c r="C83">
        <v>4</v>
      </c>
      <c r="D83">
        <v>12</v>
      </c>
      <c r="E83">
        <v>16</v>
      </c>
      <c r="F83">
        <v>0</v>
      </c>
      <c r="G83" t="s">
        <v>72</v>
      </c>
      <c r="J83" t="s">
        <v>12</v>
      </c>
      <c r="K83" t="s">
        <v>66</v>
      </c>
      <c r="L83" t="s">
        <v>74</v>
      </c>
      <c r="M83">
        <v>1</v>
      </c>
      <c r="N83"/>
      <c r="O83"/>
      <c r="P83" s="17">
        <f>Table11[[#This Row],[Gain/Loss]]</f>
        <v>0</v>
      </c>
      <c r="Q83" s="17">
        <f>IF(Table11[[#This Row],[Direction]]="L",0.5,IF(Table11[[#This Row],[Direction]]="M",1.5,2.5))</f>
        <v>2.5</v>
      </c>
      <c r="R83" s="17" t="str">
        <f>IF(Table11[[#This Row],[Direction]]="R","Right",IF(Table11[[#This Row],[Direction]]="L","Left","Middle"))</f>
        <v>Right</v>
      </c>
      <c r="S83" s="17">
        <f>IF(Table11[[#This Row],[Pass Zone]]="S",0.5,IF(Table11[[#This Row],[Pass Zone]]="M",1.5,2.5))</f>
        <v>2.5</v>
      </c>
      <c r="T83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83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83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09:  4th &amp; 2+</v>
      </c>
      <c r="W83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Red Zone</v>
      </c>
      <c r="Y83"/>
    </row>
    <row r="84" spans="1:25" x14ac:dyDescent="0.25">
      <c r="A84">
        <v>73</v>
      </c>
      <c r="B84">
        <v>1</v>
      </c>
      <c r="C84">
        <v>1</v>
      </c>
      <c r="D84">
        <v>10</v>
      </c>
      <c r="E84">
        <v>35</v>
      </c>
      <c r="F84">
        <v>-1</v>
      </c>
      <c r="G84" t="s">
        <v>72</v>
      </c>
      <c r="J84" t="s">
        <v>12</v>
      </c>
      <c r="K84" t="s">
        <v>72</v>
      </c>
      <c r="L84" t="s">
        <v>74</v>
      </c>
      <c r="M84">
        <v>1</v>
      </c>
      <c r="N84"/>
      <c r="O84"/>
      <c r="P84" s="17">
        <f>Table11[[#This Row],[Gain/Loss]]</f>
        <v>-1</v>
      </c>
      <c r="Q84" s="17">
        <f>IF(Table11[[#This Row],[Direction]]="L",0.5,IF(Table11[[#This Row],[Direction]]="M",1.5,2.5))</f>
        <v>0.5</v>
      </c>
      <c r="R84" s="17" t="str">
        <f>IF(Table11[[#This Row],[Direction]]="R","Right",IF(Table11[[#This Row],[Direction]]="L","Left","Middle"))</f>
        <v>Left</v>
      </c>
      <c r="S84" s="17">
        <f>IF(Table11[[#This Row],[Pass Zone]]="S",0.5,IF(Table11[[#This Row],[Pass Zone]]="M",1.5,2.5))</f>
        <v>2.5</v>
      </c>
      <c r="T84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84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84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84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  <c r="Y84"/>
    </row>
    <row r="85" spans="1:25" x14ac:dyDescent="0.25">
      <c r="A85">
        <v>74</v>
      </c>
      <c r="B85">
        <v>2</v>
      </c>
      <c r="C85">
        <v>2</v>
      </c>
      <c r="D85">
        <v>11</v>
      </c>
      <c r="E85">
        <v>36</v>
      </c>
      <c r="F85">
        <v>0</v>
      </c>
      <c r="G85" t="s">
        <v>72</v>
      </c>
      <c r="J85" t="s">
        <v>13</v>
      </c>
      <c r="K85" t="s">
        <v>72</v>
      </c>
      <c r="L85"/>
      <c r="M85">
        <v>1</v>
      </c>
      <c r="N85">
        <v>0</v>
      </c>
      <c r="O85"/>
      <c r="P85" s="17">
        <f>Table11[[#This Row],[Gain/Loss]]</f>
        <v>0</v>
      </c>
      <c r="Q85" s="17">
        <f>IF(Table11[[#This Row],[Direction]]="L",0.5,IF(Table11[[#This Row],[Direction]]="M",1.5,2.5))</f>
        <v>0.5</v>
      </c>
      <c r="R85" s="17" t="str">
        <f>IF(Table11[[#This Row],[Direction]]="R","Right",IF(Table11[[#This Row],[Direction]]="L","Left","Middle"))</f>
        <v>Left</v>
      </c>
      <c r="S85" s="17">
        <f>IF(Table11[[#This Row],[Pass Zone]]="S",0.5,IF(Table11[[#This Row],[Pass Zone]]="M",1.5,2.5))</f>
        <v>2.5</v>
      </c>
      <c r="T85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85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85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03:  2nd &amp; 8+</v>
      </c>
      <c r="W85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  <c r="Y85"/>
    </row>
    <row r="86" spans="1:25" x14ac:dyDescent="0.25">
      <c r="A86">
        <v>75</v>
      </c>
      <c r="B86">
        <v>3</v>
      </c>
      <c r="C86">
        <v>3</v>
      </c>
      <c r="D86">
        <v>11</v>
      </c>
      <c r="E86">
        <v>36</v>
      </c>
      <c r="F86">
        <v>3</v>
      </c>
      <c r="G86" t="s">
        <v>72</v>
      </c>
      <c r="J86" t="s">
        <v>12</v>
      </c>
      <c r="K86" t="s">
        <v>66</v>
      </c>
      <c r="L86" t="s">
        <v>74</v>
      </c>
      <c r="M86">
        <v>1</v>
      </c>
      <c r="N86"/>
      <c r="O86"/>
      <c r="P86" s="17">
        <f>Table11[[#This Row],[Gain/Loss]]</f>
        <v>3</v>
      </c>
      <c r="Q86" s="17">
        <f>IF(Table11[[#This Row],[Direction]]="L",0.5,IF(Table11[[#This Row],[Direction]]="M",1.5,2.5))</f>
        <v>2.5</v>
      </c>
      <c r="R86" s="17" t="str">
        <f>IF(Table11[[#This Row],[Direction]]="R","Right",IF(Table11[[#This Row],[Direction]]="L","Left","Middle"))</f>
        <v>Right</v>
      </c>
      <c r="S86" s="17">
        <f>IF(Table11[[#This Row],[Pass Zone]]="S",0.5,IF(Table11[[#This Row],[Pass Zone]]="M",1.5,2.5))</f>
        <v>2.5</v>
      </c>
      <c r="T86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86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86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06:  3rd &amp; 8+</v>
      </c>
      <c r="W86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  <c r="Y86"/>
    </row>
    <row r="87" spans="1:25" x14ac:dyDescent="0.25">
      <c r="A87">
        <v>76</v>
      </c>
      <c r="B87">
        <v>4</v>
      </c>
      <c r="C87">
        <v>4</v>
      </c>
      <c r="D87">
        <v>8</v>
      </c>
      <c r="E87">
        <v>33</v>
      </c>
      <c r="F87">
        <v>0</v>
      </c>
      <c r="G87" t="s">
        <v>72</v>
      </c>
      <c r="J87" t="s">
        <v>13</v>
      </c>
      <c r="K87" t="s">
        <v>66</v>
      </c>
      <c r="L87"/>
      <c r="M87">
        <v>1</v>
      </c>
      <c r="N87">
        <v>0</v>
      </c>
      <c r="O87"/>
      <c r="P87" s="17">
        <f>Table11[[#This Row],[Gain/Loss]]</f>
        <v>0</v>
      </c>
      <c r="Q87" s="17">
        <f>IF(Table11[[#This Row],[Direction]]="L",0.5,IF(Table11[[#This Row],[Direction]]="M",1.5,2.5))</f>
        <v>2.5</v>
      </c>
      <c r="R87" s="17" t="str">
        <f>IF(Table11[[#This Row],[Direction]]="R","Right",IF(Table11[[#This Row],[Direction]]="L","Left","Middle"))</f>
        <v>Right</v>
      </c>
      <c r="S87" s="17">
        <f>IF(Table11[[#This Row],[Pass Zone]]="S",0.5,IF(Table11[[#This Row],[Pass Zone]]="M",1.5,2.5))</f>
        <v>2.5</v>
      </c>
      <c r="T87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87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87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09:  4th &amp; 2+</v>
      </c>
      <c r="W87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  <c r="Y87"/>
    </row>
    <row r="88" spans="1:25" x14ac:dyDescent="0.25">
      <c r="A88">
        <v>85</v>
      </c>
      <c r="B88">
        <v>1</v>
      </c>
      <c r="C88">
        <v>1</v>
      </c>
      <c r="D88">
        <v>10</v>
      </c>
      <c r="E88">
        <v>-47</v>
      </c>
      <c r="F88">
        <v>0</v>
      </c>
      <c r="G88" t="s">
        <v>72</v>
      </c>
      <c r="J88" t="s">
        <v>13</v>
      </c>
      <c r="K88" t="s">
        <v>66</v>
      </c>
      <c r="L88"/>
      <c r="M88">
        <v>1</v>
      </c>
      <c r="N88">
        <v>0</v>
      </c>
      <c r="O88"/>
      <c r="P88" s="17">
        <f>Table11[[#This Row],[Gain/Loss]]</f>
        <v>0</v>
      </c>
      <c r="Q88" s="17">
        <f>IF(Table11[[#This Row],[Direction]]="L",0.5,IF(Table11[[#This Row],[Direction]]="M",1.5,2.5))</f>
        <v>2.5</v>
      </c>
      <c r="R88" s="17" t="str">
        <f>IF(Table11[[#This Row],[Direction]]="R","Right",IF(Table11[[#This Row],[Direction]]="L","Left","Middle"))</f>
        <v>Right</v>
      </c>
      <c r="S88" s="17">
        <f>IF(Table11[[#This Row],[Pass Zone]]="S",0.5,IF(Table11[[#This Row],[Pass Zone]]="M",1.5,2.5))</f>
        <v>2.5</v>
      </c>
      <c r="T88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88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88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88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  <c r="Y88"/>
    </row>
    <row r="89" spans="1:25" x14ac:dyDescent="0.25">
      <c r="A89">
        <v>86</v>
      </c>
      <c r="B89">
        <v>2</v>
      </c>
      <c r="C89">
        <v>2</v>
      </c>
      <c r="D89">
        <v>10</v>
      </c>
      <c r="E89">
        <v>-47</v>
      </c>
      <c r="F89">
        <v>16</v>
      </c>
      <c r="G89" t="s">
        <v>72</v>
      </c>
      <c r="J89" t="s">
        <v>12</v>
      </c>
      <c r="K89" t="s">
        <v>72</v>
      </c>
      <c r="L89" t="s">
        <v>74</v>
      </c>
      <c r="M89">
        <v>1</v>
      </c>
      <c r="N89"/>
      <c r="O89"/>
      <c r="P89" s="17">
        <f>Table11[[#This Row],[Gain/Loss]]</f>
        <v>16</v>
      </c>
      <c r="Q89" s="17">
        <f>IF(Table11[[#This Row],[Direction]]="L",0.5,IF(Table11[[#This Row],[Direction]]="M",1.5,2.5))</f>
        <v>0.5</v>
      </c>
      <c r="R89" s="17" t="str">
        <f>IF(Table11[[#This Row],[Direction]]="R","Right",IF(Table11[[#This Row],[Direction]]="L","Left","Middle"))</f>
        <v>Left</v>
      </c>
      <c r="S89" s="17">
        <f>IF(Table11[[#This Row],[Pass Zone]]="S",0.5,IF(Table11[[#This Row],[Pass Zone]]="M",1.5,2.5))</f>
        <v>2.5</v>
      </c>
      <c r="T89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89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89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03:  2nd &amp; 8+</v>
      </c>
      <c r="W89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  <c r="Y89"/>
    </row>
    <row r="90" spans="1:25" x14ac:dyDescent="0.25">
      <c r="A90">
        <v>87</v>
      </c>
      <c r="B90">
        <v>1</v>
      </c>
      <c r="C90">
        <v>1</v>
      </c>
      <c r="D90">
        <v>10</v>
      </c>
      <c r="E90">
        <v>37</v>
      </c>
      <c r="F90">
        <v>0</v>
      </c>
      <c r="G90" t="s">
        <v>72</v>
      </c>
      <c r="J90" t="s">
        <v>13</v>
      </c>
      <c r="K90" t="s">
        <v>70</v>
      </c>
      <c r="L90"/>
      <c r="M90">
        <v>1</v>
      </c>
      <c r="N90">
        <v>0</v>
      </c>
      <c r="O90" t="s">
        <v>67</v>
      </c>
      <c r="P90" s="17">
        <f>Table11[[#This Row],[Gain/Loss]]</f>
        <v>0</v>
      </c>
      <c r="Q90" s="17">
        <f>IF(Table11[[#This Row],[Direction]]="L",0.5,IF(Table11[[#This Row],[Direction]]="M",1.5,2.5))</f>
        <v>1.5</v>
      </c>
      <c r="R90" s="17" t="str">
        <f>IF(Table11[[#This Row],[Direction]]="R","Right",IF(Table11[[#This Row],[Direction]]="L","Left","Middle"))</f>
        <v>Middle</v>
      </c>
      <c r="S90" s="17">
        <f>IF(Table11[[#This Row],[Pass Zone]]="S",0.5,IF(Table11[[#This Row],[Pass Zone]]="M",1.5,2.5))</f>
        <v>0.5</v>
      </c>
      <c r="T90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90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90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90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  <c r="Y90"/>
    </row>
    <row r="91" spans="1:25" x14ac:dyDescent="0.25">
      <c r="A91">
        <v>102</v>
      </c>
      <c r="B91">
        <v>1</v>
      </c>
      <c r="C91">
        <v>1</v>
      </c>
      <c r="D91">
        <v>10</v>
      </c>
      <c r="E91">
        <v>37</v>
      </c>
      <c r="F91">
        <v>7</v>
      </c>
      <c r="G91" t="s">
        <v>66</v>
      </c>
      <c r="J91" t="s">
        <v>12</v>
      </c>
      <c r="K91" t="s">
        <v>66</v>
      </c>
      <c r="L91" t="s">
        <v>74</v>
      </c>
      <c r="M91">
        <v>1</v>
      </c>
      <c r="N91"/>
      <c r="O91"/>
      <c r="P91" s="17">
        <f>Table11[[#This Row],[Gain/Loss]]</f>
        <v>7</v>
      </c>
      <c r="Q91" s="17">
        <f>IF(Table11[[#This Row],[Direction]]="L",0.5,IF(Table11[[#This Row],[Direction]]="M",1.5,2.5))</f>
        <v>2.5</v>
      </c>
      <c r="R91" s="17" t="str">
        <f>IF(Table11[[#This Row],[Direction]]="R","Right",IF(Table11[[#This Row],[Direction]]="L","Left","Middle"))</f>
        <v>Right</v>
      </c>
      <c r="S91" s="17">
        <f>IF(Table11[[#This Row],[Pass Zone]]="S",0.5,IF(Table11[[#This Row],[Pass Zone]]="M",1.5,2.5))</f>
        <v>2.5</v>
      </c>
      <c r="T91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91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91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91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  <c r="Y91"/>
    </row>
    <row r="92" spans="1:25" x14ac:dyDescent="0.25">
      <c r="A92">
        <v>103</v>
      </c>
      <c r="B92">
        <v>2</v>
      </c>
      <c r="C92">
        <v>2</v>
      </c>
      <c r="D92">
        <v>3</v>
      </c>
      <c r="E92">
        <v>30</v>
      </c>
      <c r="F92">
        <v>2</v>
      </c>
      <c r="G92" t="s">
        <v>70</v>
      </c>
      <c r="J92" t="s">
        <v>12</v>
      </c>
      <c r="K92" t="s">
        <v>66</v>
      </c>
      <c r="L92" t="s">
        <v>74</v>
      </c>
      <c r="M92">
        <v>1</v>
      </c>
      <c r="N92"/>
      <c r="O92"/>
      <c r="P92" s="17">
        <f>Table11[[#This Row],[Gain/Loss]]</f>
        <v>2</v>
      </c>
      <c r="Q92" s="17">
        <f>IF(Table11[[#This Row],[Direction]]="L",0.5,IF(Table11[[#This Row],[Direction]]="M",1.5,2.5))</f>
        <v>2.5</v>
      </c>
      <c r="R92" s="17" t="str">
        <f>IF(Table11[[#This Row],[Direction]]="R","Right",IF(Table11[[#This Row],[Direction]]="L","Left","Middle"))</f>
        <v>Right</v>
      </c>
      <c r="S92" s="17">
        <f>IF(Table11[[#This Row],[Pass Zone]]="S",0.5,IF(Table11[[#This Row],[Pass Zone]]="M",1.5,2.5))</f>
        <v>2.5</v>
      </c>
      <c r="T92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92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92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05:  2nd &amp; &lt; 4</v>
      </c>
      <c r="W92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  <c r="Y92"/>
    </row>
    <row r="93" spans="1:25" x14ac:dyDescent="0.25">
      <c r="A93">
        <v>104</v>
      </c>
      <c r="B93">
        <v>3</v>
      </c>
      <c r="C93">
        <v>3</v>
      </c>
      <c r="D93">
        <v>1</v>
      </c>
      <c r="E93">
        <v>28</v>
      </c>
      <c r="F93">
        <v>3</v>
      </c>
      <c r="G93" t="s">
        <v>66</v>
      </c>
      <c r="J93" t="s">
        <v>12</v>
      </c>
      <c r="K93" t="s">
        <v>72</v>
      </c>
      <c r="L93" t="s">
        <v>74</v>
      </c>
      <c r="M93">
        <v>1</v>
      </c>
      <c r="N93"/>
      <c r="O93"/>
      <c r="P93" s="17">
        <f>Table11[[#This Row],[Gain/Loss]]</f>
        <v>3</v>
      </c>
      <c r="Q93" s="17">
        <f>IF(Table11[[#This Row],[Direction]]="L",0.5,IF(Table11[[#This Row],[Direction]]="M",1.5,2.5))</f>
        <v>0.5</v>
      </c>
      <c r="R93" s="17" t="str">
        <f>IF(Table11[[#This Row],[Direction]]="R","Right",IF(Table11[[#This Row],[Direction]]="L","Left","Middle"))</f>
        <v>Left</v>
      </c>
      <c r="S93" s="17">
        <f>IF(Table11[[#This Row],[Pass Zone]]="S",0.5,IF(Table11[[#This Row],[Pass Zone]]="M",1.5,2.5))</f>
        <v>2.5</v>
      </c>
      <c r="T93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93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93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08:  3rd &amp; &lt; 4</v>
      </c>
      <c r="W93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  <c r="Y93"/>
    </row>
    <row r="94" spans="1:25" x14ac:dyDescent="0.25">
      <c r="A94">
        <v>105</v>
      </c>
      <c r="B94">
        <v>1</v>
      </c>
      <c r="C94">
        <v>1</v>
      </c>
      <c r="D94">
        <v>10</v>
      </c>
      <c r="E94">
        <v>25</v>
      </c>
      <c r="F94">
        <v>20</v>
      </c>
      <c r="G94" t="s">
        <v>66</v>
      </c>
      <c r="J94" t="s">
        <v>13</v>
      </c>
      <c r="K94" t="s">
        <v>72</v>
      </c>
      <c r="L94"/>
      <c r="M94">
        <v>1</v>
      </c>
      <c r="N94">
        <v>1</v>
      </c>
      <c r="O94" t="s">
        <v>71</v>
      </c>
      <c r="P94" s="17">
        <f>Table11[[#This Row],[Gain/Loss]]</f>
        <v>20</v>
      </c>
      <c r="Q94" s="17">
        <f>IF(Table11[[#This Row],[Direction]]="L",0.5,IF(Table11[[#This Row],[Direction]]="M",1.5,2.5))</f>
        <v>0.5</v>
      </c>
      <c r="R94" s="17" t="str">
        <f>IF(Table11[[#This Row],[Direction]]="R","Right",IF(Table11[[#This Row],[Direction]]="L","Left","Middle"))</f>
        <v>Left</v>
      </c>
      <c r="S94" s="17">
        <f>IF(Table11[[#This Row],[Pass Zone]]="S",0.5,IF(Table11[[#This Row],[Pass Zone]]="M",1.5,2.5))</f>
        <v>2.5</v>
      </c>
      <c r="T94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94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94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94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  <c r="Y94"/>
    </row>
    <row r="95" spans="1:25" x14ac:dyDescent="0.25">
      <c r="A95">
        <v>106</v>
      </c>
      <c r="B95">
        <v>1</v>
      </c>
      <c r="C95">
        <v>1</v>
      </c>
      <c r="D95">
        <v>5</v>
      </c>
      <c r="E95">
        <v>5</v>
      </c>
      <c r="F95">
        <v>2</v>
      </c>
      <c r="G95" t="s">
        <v>72</v>
      </c>
      <c r="J95" t="s">
        <v>13</v>
      </c>
      <c r="K95" t="s">
        <v>66</v>
      </c>
      <c r="L95"/>
      <c r="M95">
        <v>1</v>
      </c>
      <c r="N95">
        <v>0</v>
      </c>
      <c r="O95"/>
      <c r="P95" s="17">
        <f>Table11[[#This Row],[Gain/Loss]]</f>
        <v>2</v>
      </c>
      <c r="Q95" s="17">
        <f>IF(Table11[[#This Row],[Direction]]="L",0.5,IF(Table11[[#This Row],[Direction]]="M",1.5,2.5))</f>
        <v>2.5</v>
      </c>
      <c r="R95" s="17" t="str">
        <f>IF(Table11[[#This Row],[Direction]]="R","Right",IF(Table11[[#This Row],[Direction]]="L","Left","Middle"))</f>
        <v>Right</v>
      </c>
      <c r="S95" s="17">
        <f>IF(Table11[[#This Row],[Pass Zone]]="S",0.5,IF(Table11[[#This Row],[Pass Zone]]="M",1.5,2.5))</f>
        <v>2.5</v>
      </c>
      <c r="T95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95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95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02:  1st &amp; &lt; 10</v>
      </c>
      <c r="W95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Red Zone</v>
      </c>
      <c r="Y95"/>
    </row>
    <row r="96" spans="1:25" x14ac:dyDescent="0.25">
      <c r="A96">
        <v>108</v>
      </c>
      <c r="B96">
        <v>2</v>
      </c>
      <c r="C96">
        <v>2</v>
      </c>
      <c r="D96">
        <v>3</v>
      </c>
      <c r="E96">
        <v>3</v>
      </c>
      <c r="F96">
        <v>3</v>
      </c>
      <c r="G96" t="s">
        <v>70</v>
      </c>
      <c r="J96" t="s">
        <v>12</v>
      </c>
      <c r="K96" t="s">
        <v>66</v>
      </c>
      <c r="L96" t="s">
        <v>74</v>
      </c>
      <c r="M96">
        <v>1</v>
      </c>
      <c r="N96"/>
      <c r="O96"/>
      <c r="P96" s="17">
        <f>Table11[[#This Row],[Gain/Loss]]</f>
        <v>3</v>
      </c>
      <c r="Q96" s="17">
        <f>IF(Table11[[#This Row],[Direction]]="L",0.5,IF(Table11[[#This Row],[Direction]]="M",1.5,2.5))</f>
        <v>2.5</v>
      </c>
      <c r="R96" s="17" t="str">
        <f>IF(Table11[[#This Row],[Direction]]="R","Right",IF(Table11[[#This Row],[Direction]]="L","Left","Middle"))</f>
        <v>Right</v>
      </c>
      <c r="S96" s="17">
        <f>IF(Table11[[#This Row],[Pass Zone]]="S",0.5,IF(Table11[[#This Row],[Pass Zone]]="M",1.5,2.5))</f>
        <v>2.5</v>
      </c>
      <c r="T96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96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96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05:  2nd &amp; &lt; 4</v>
      </c>
      <c r="W96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Red Zone</v>
      </c>
      <c r="Y96"/>
    </row>
    <row r="97" spans="1:25" x14ac:dyDescent="0.25">
      <c r="A97">
        <v>120</v>
      </c>
      <c r="B97">
        <v>1</v>
      </c>
      <c r="C97">
        <v>1</v>
      </c>
      <c r="D97">
        <v>10</v>
      </c>
      <c r="E97">
        <v>-45</v>
      </c>
      <c r="F97">
        <v>16</v>
      </c>
      <c r="G97" t="s">
        <v>66</v>
      </c>
      <c r="J97" t="s">
        <v>13</v>
      </c>
      <c r="K97" t="s">
        <v>66</v>
      </c>
      <c r="L97"/>
      <c r="M97">
        <v>1</v>
      </c>
      <c r="N97">
        <v>1</v>
      </c>
      <c r="O97" t="s">
        <v>71</v>
      </c>
      <c r="P97" s="17">
        <f>Table11[[#This Row],[Gain/Loss]]</f>
        <v>16</v>
      </c>
      <c r="Q97" s="17">
        <f>IF(Table11[[#This Row],[Direction]]="L",0.5,IF(Table11[[#This Row],[Direction]]="M",1.5,2.5))</f>
        <v>2.5</v>
      </c>
      <c r="R97" s="17" t="str">
        <f>IF(Table11[[#This Row],[Direction]]="R","Right",IF(Table11[[#This Row],[Direction]]="L","Left","Middle"))</f>
        <v>Right</v>
      </c>
      <c r="S97" s="17">
        <f>IF(Table11[[#This Row],[Pass Zone]]="S",0.5,IF(Table11[[#This Row],[Pass Zone]]="M",1.5,2.5))</f>
        <v>2.5</v>
      </c>
      <c r="T97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97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97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97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  <c r="Y97"/>
    </row>
    <row r="98" spans="1:25" x14ac:dyDescent="0.25">
      <c r="A98">
        <v>121</v>
      </c>
      <c r="B98">
        <v>1</v>
      </c>
      <c r="C98">
        <v>1</v>
      </c>
      <c r="D98">
        <v>10</v>
      </c>
      <c r="E98">
        <v>39</v>
      </c>
      <c r="F98">
        <v>1</v>
      </c>
      <c r="G98" t="s">
        <v>66</v>
      </c>
      <c r="J98" t="s">
        <v>12</v>
      </c>
      <c r="K98" t="s">
        <v>72</v>
      </c>
      <c r="L98" t="s">
        <v>74</v>
      </c>
      <c r="M98">
        <v>1</v>
      </c>
      <c r="N98"/>
      <c r="O98"/>
      <c r="P98" s="17">
        <f>Table11[[#This Row],[Gain/Loss]]</f>
        <v>1</v>
      </c>
      <c r="Q98" s="17">
        <f>IF(Table11[[#This Row],[Direction]]="L",0.5,IF(Table11[[#This Row],[Direction]]="M",1.5,2.5))</f>
        <v>0.5</v>
      </c>
      <c r="R98" s="17" t="str">
        <f>IF(Table11[[#This Row],[Direction]]="R","Right",IF(Table11[[#This Row],[Direction]]="L","Left","Middle"))</f>
        <v>Left</v>
      </c>
      <c r="S98" s="17">
        <f>IF(Table11[[#This Row],[Pass Zone]]="S",0.5,IF(Table11[[#This Row],[Pass Zone]]="M",1.5,2.5))</f>
        <v>2.5</v>
      </c>
      <c r="T98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98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98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98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  <c r="Y98"/>
    </row>
    <row r="99" spans="1:25" x14ac:dyDescent="0.25">
      <c r="A99">
        <v>122</v>
      </c>
      <c r="B99">
        <v>2</v>
      </c>
      <c r="C99">
        <v>2</v>
      </c>
      <c r="D99">
        <v>9</v>
      </c>
      <c r="E99">
        <v>38</v>
      </c>
      <c r="F99">
        <v>7</v>
      </c>
      <c r="G99" t="s">
        <v>66</v>
      </c>
      <c r="J99" t="s">
        <v>12</v>
      </c>
      <c r="K99" t="s">
        <v>72</v>
      </c>
      <c r="L99" t="s">
        <v>74</v>
      </c>
      <c r="M99">
        <v>1</v>
      </c>
      <c r="N99"/>
      <c r="O99"/>
      <c r="P99" s="17">
        <f>Table11[[#This Row],[Gain/Loss]]</f>
        <v>7</v>
      </c>
      <c r="Q99" s="17">
        <f>IF(Table11[[#This Row],[Direction]]="L",0.5,IF(Table11[[#This Row],[Direction]]="M",1.5,2.5))</f>
        <v>0.5</v>
      </c>
      <c r="R99" s="17" t="str">
        <f>IF(Table11[[#This Row],[Direction]]="R","Right",IF(Table11[[#This Row],[Direction]]="L","Left","Middle"))</f>
        <v>Left</v>
      </c>
      <c r="S99" s="17">
        <f>IF(Table11[[#This Row],[Pass Zone]]="S",0.5,IF(Table11[[#This Row],[Pass Zone]]="M",1.5,2.5))</f>
        <v>2.5</v>
      </c>
      <c r="T99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99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99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03:  2nd &amp; 8+</v>
      </c>
      <c r="W99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  <c r="Y99"/>
    </row>
    <row r="100" spans="1:25" x14ac:dyDescent="0.25">
      <c r="A100">
        <v>123</v>
      </c>
      <c r="B100">
        <v>3</v>
      </c>
      <c r="C100">
        <v>3</v>
      </c>
      <c r="D100">
        <v>2</v>
      </c>
      <c r="E100">
        <v>31</v>
      </c>
      <c r="F100">
        <v>2</v>
      </c>
      <c r="G100" t="s">
        <v>66</v>
      </c>
      <c r="J100" t="s">
        <v>12</v>
      </c>
      <c r="K100" t="s">
        <v>66</v>
      </c>
      <c r="L100" t="s">
        <v>74</v>
      </c>
      <c r="M100">
        <v>1</v>
      </c>
      <c r="N100"/>
      <c r="O100"/>
      <c r="P100" s="17">
        <f>Table11[[#This Row],[Gain/Loss]]</f>
        <v>2</v>
      </c>
      <c r="Q100" s="17">
        <f>IF(Table11[[#This Row],[Direction]]="L",0.5,IF(Table11[[#This Row],[Direction]]="M",1.5,2.5))</f>
        <v>2.5</v>
      </c>
      <c r="R100" s="17" t="str">
        <f>IF(Table11[[#This Row],[Direction]]="R","Right",IF(Table11[[#This Row],[Direction]]="L","Left","Middle"))</f>
        <v>Right</v>
      </c>
      <c r="S100" s="17">
        <f>IF(Table11[[#This Row],[Pass Zone]]="S",0.5,IF(Table11[[#This Row],[Pass Zone]]="M",1.5,2.5))</f>
        <v>2.5</v>
      </c>
      <c r="T100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00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100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08:  3rd &amp; &lt; 4</v>
      </c>
      <c r="W100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  <c r="Y100"/>
    </row>
    <row r="101" spans="1:25" x14ac:dyDescent="0.25">
      <c r="A101">
        <v>125</v>
      </c>
      <c r="B101">
        <v>1</v>
      </c>
      <c r="C101">
        <v>1</v>
      </c>
      <c r="D101">
        <v>10</v>
      </c>
      <c r="E101">
        <v>29</v>
      </c>
      <c r="F101">
        <v>0</v>
      </c>
      <c r="G101" t="s">
        <v>66</v>
      </c>
      <c r="J101" t="s">
        <v>13</v>
      </c>
      <c r="K101" t="s">
        <v>72</v>
      </c>
      <c r="L101"/>
      <c r="M101">
        <v>1</v>
      </c>
      <c r="N101">
        <v>0</v>
      </c>
      <c r="O101"/>
      <c r="P101" s="17">
        <f>Table11[[#This Row],[Gain/Loss]]</f>
        <v>0</v>
      </c>
      <c r="Q101" s="17">
        <f>IF(Table11[[#This Row],[Direction]]="L",0.5,IF(Table11[[#This Row],[Direction]]="M",1.5,2.5))</f>
        <v>0.5</v>
      </c>
      <c r="R101" s="17" t="str">
        <f>IF(Table11[[#This Row],[Direction]]="R","Right",IF(Table11[[#This Row],[Direction]]="L","Left","Middle"))</f>
        <v>Left</v>
      </c>
      <c r="S101" s="17">
        <f>IF(Table11[[#This Row],[Pass Zone]]="S",0.5,IF(Table11[[#This Row],[Pass Zone]]="M",1.5,2.5))</f>
        <v>2.5</v>
      </c>
      <c r="T101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01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101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101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  <c r="Y101"/>
    </row>
    <row r="102" spans="1:25" x14ac:dyDescent="0.25">
      <c r="A102">
        <v>128</v>
      </c>
      <c r="B102">
        <v>2</v>
      </c>
      <c r="C102">
        <v>2</v>
      </c>
      <c r="D102">
        <v>10</v>
      </c>
      <c r="E102">
        <v>39</v>
      </c>
      <c r="F102">
        <v>0</v>
      </c>
      <c r="G102" t="s">
        <v>66</v>
      </c>
      <c r="J102" t="s">
        <v>13</v>
      </c>
      <c r="K102" t="s">
        <v>72</v>
      </c>
      <c r="L102"/>
      <c r="M102">
        <v>1</v>
      </c>
      <c r="N102">
        <v>0</v>
      </c>
      <c r="O102"/>
      <c r="P102" s="17">
        <f>Table11[[#This Row],[Gain/Loss]]</f>
        <v>0</v>
      </c>
      <c r="Q102" s="17">
        <f>IF(Table11[[#This Row],[Direction]]="L",0.5,IF(Table11[[#This Row],[Direction]]="M",1.5,2.5))</f>
        <v>0.5</v>
      </c>
      <c r="R102" s="17" t="str">
        <f>IF(Table11[[#This Row],[Direction]]="R","Right",IF(Table11[[#This Row],[Direction]]="L","Left","Middle"))</f>
        <v>Left</v>
      </c>
      <c r="S102" s="17">
        <f>IF(Table11[[#This Row],[Pass Zone]]="S",0.5,IF(Table11[[#This Row],[Pass Zone]]="M",1.5,2.5))</f>
        <v>2.5</v>
      </c>
      <c r="T102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02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102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03:  2nd &amp; 8+</v>
      </c>
      <c r="W102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  <c r="Y102"/>
    </row>
    <row r="103" spans="1:25" x14ac:dyDescent="0.25">
      <c r="A103">
        <v>129</v>
      </c>
      <c r="B103">
        <v>3</v>
      </c>
      <c r="C103">
        <v>3</v>
      </c>
      <c r="D103">
        <v>10</v>
      </c>
      <c r="E103">
        <v>39</v>
      </c>
      <c r="F103">
        <v>0</v>
      </c>
      <c r="G103" t="s">
        <v>66</v>
      </c>
      <c r="J103" t="s">
        <v>13</v>
      </c>
      <c r="K103" t="s">
        <v>72</v>
      </c>
      <c r="L103"/>
      <c r="M103">
        <v>1</v>
      </c>
      <c r="N103">
        <v>0</v>
      </c>
      <c r="O103"/>
      <c r="P103" s="17">
        <f>Table11[[#This Row],[Gain/Loss]]</f>
        <v>0</v>
      </c>
      <c r="Q103" s="17">
        <f>IF(Table11[[#This Row],[Direction]]="L",0.5,IF(Table11[[#This Row],[Direction]]="M",1.5,2.5))</f>
        <v>0.5</v>
      </c>
      <c r="R103" s="17" t="str">
        <f>IF(Table11[[#This Row],[Direction]]="R","Right",IF(Table11[[#This Row],[Direction]]="L","Left","Middle"))</f>
        <v>Left</v>
      </c>
      <c r="S103" s="17">
        <f>IF(Table11[[#This Row],[Pass Zone]]="S",0.5,IF(Table11[[#This Row],[Pass Zone]]="M",1.5,2.5))</f>
        <v>2.5</v>
      </c>
      <c r="T103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03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103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06:  3rd &amp; 8+</v>
      </c>
      <c r="W103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  <c r="Y103"/>
    </row>
    <row r="104" spans="1:25" x14ac:dyDescent="0.25">
      <c r="A104">
        <v>131</v>
      </c>
      <c r="B104">
        <v>1</v>
      </c>
      <c r="C104">
        <v>1</v>
      </c>
      <c r="D104">
        <v>10</v>
      </c>
      <c r="E104">
        <v>26</v>
      </c>
      <c r="F104">
        <v>4</v>
      </c>
      <c r="G104" t="s">
        <v>72</v>
      </c>
      <c r="J104" t="s">
        <v>12</v>
      </c>
      <c r="K104" t="s">
        <v>66</v>
      </c>
      <c r="L104" t="s">
        <v>74</v>
      </c>
      <c r="M104">
        <v>1</v>
      </c>
      <c r="N104"/>
      <c r="O104"/>
      <c r="P104" s="17">
        <f>Table11[[#This Row],[Gain/Loss]]</f>
        <v>4</v>
      </c>
      <c r="Q104" s="17">
        <f>IF(Table11[[#This Row],[Direction]]="L",0.5,IF(Table11[[#This Row],[Direction]]="M",1.5,2.5))</f>
        <v>2.5</v>
      </c>
      <c r="R104" s="17" t="str">
        <f>IF(Table11[[#This Row],[Direction]]="R","Right",IF(Table11[[#This Row],[Direction]]="L","Left","Middle"))</f>
        <v>Right</v>
      </c>
      <c r="S104" s="17">
        <f>IF(Table11[[#This Row],[Pass Zone]]="S",0.5,IF(Table11[[#This Row],[Pass Zone]]="M",1.5,2.5))</f>
        <v>2.5</v>
      </c>
      <c r="T104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04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104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104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  <c r="Y104"/>
    </row>
    <row r="105" spans="1:25" x14ac:dyDescent="0.25">
      <c r="A105">
        <v>132</v>
      </c>
      <c r="B105">
        <v>2</v>
      </c>
      <c r="C105">
        <v>2</v>
      </c>
      <c r="D105">
        <v>6</v>
      </c>
      <c r="E105">
        <v>22</v>
      </c>
      <c r="F105">
        <v>22</v>
      </c>
      <c r="G105" t="s">
        <v>70</v>
      </c>
      <c r="J105" t="s">
        <v>12</v>
      </c>
      <c r="K105" t="s">
        <v>72</v>
      </c>
      <c r="L105" t="s">
        <v>74</v>
      </c>
      <c r="M105">
        <v>1</v>
      </c>
      <c r="N105"/>
      <c r="O105"/>
      <c r="P105" s="17">
        <f>Table11[[#This Row],[Gain/Loss]]</f>
        <v>22</v>
      </c>
      <c r="Q105" s="17">
        <f>IF(Table11[[#This Row],[Direction]]="L",0.5,IF(Table11[[#This Row],[Direction]]="M",1.5,2.5))</f>
        <v>0.5</v>
      </c>
      <c r="R105" s="17" t="str">
        <f>IF(Table11[[#This Row],[Direction]]="R","Right",IF(Table11[[#This Row],[Direction]]="L","Left","Middle"))</f>
        <v>Left</v>
      </c>
      <c r="S105" s="17">
        <f>IF(Table11[[#This Row],[Pass Zone]]="S",0.5,IF(Table11[[#This Row],[Pass Zone]]="M",1.5,2.5))</f>
        <v>2.5</v>
      </c>
      <c r="T105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05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105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04:  2nd &amp; 4 - 7</v>
      </c>
      <c r="W105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  <c r="Y105"/>
    </row>
    <row r="106" spans="1:25" x14ac:dyDescent="0.25">
      <c r="A106">
        <v>153</v>
      </c>
      <c r="B106">
        <v>1</v>
      </c>
      <c r="C106">
        <v>1</v>
      </c>
      <c r="D106">
        <v>10</v>
      </c>
      <c r="E106">
        <v>-30</v>
      </c>
      <c r="F106">
        <v>5</v>
      </c>
      <c r="G106" t="s">
        <v>70</v>
      </c>
      <c r="J106" t="s">
        <v>12</v>
      </c>
      <c r="K106" t="s">
        <v>66</v>
      </c>
      <c r="L106" t="s">
        <v>74</v>
      </c>
      <c r="M106">
        <v>1</v>
      </c>
      <c r="N106"/>
      <c r="O106"/>
      <c r="P106" s="17">
        <f>Table11[[#This Row],[Gain/Loss]]</f>
        <v>5</v>
      </c>
      <c r="Q106" s="17">
        <f>IF(Table11[[#This Row],[Direction]]="L",0.5,IF(Table11[[#This Row],[Direction]]="M",1.5,2.5))</f>
        <v>2.5</v>
      </c>
      <c r="R106" s="17" t="str">
        <f>IF(Table11[[#This Row],[Direction]]="R","Right",IF(Table11[[#This Row],[Direction]]="L","Left","Middle"))</f>
        <v>Right</v>
      </c>
      <c r="S106" s="17">
        <f>IF(Table11[[#This Row],[Pass Zone]]="S",0.5,IF(Table11[[#This Row],[Pass Zone]]="M",1.5,2.5))</f>
        <v>2.5</v>
      </c>
      <c r="T106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06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106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106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  <c r="Y106"/>
    </row>
    <row r="107" spans="1:25" x14ac:dyDescent="0.25">
      <c r="A107">
        <v>154</v>
      </c>
      <c r="B107">
        <v>2</v>
      </c>
      <c r="C107">
        <v>2</v>
      </c>
      <c r="D107">
        <v>5</v>
      </c>
      <c r="E107">
        <v>-35</v>
      </c>
      <c r="F107">
        <v>1</v>
      </c>
      <c r="G107" t="s">
        <v>70</v>
      </c>
      <c r="J107" t="s">
        <v>12</v>
      </c>
      <c r="K107" t="s">
        <v>66</v>
      </c>
      <c r="L107" t="s">
        <v>74</v>
      </c>
      <c r="M107">
        <v>1</v>
      </c>
      <c r="N107"/>
      <c r="O107"/>
      <c r="P107" s="17">
        <f>Table11[[#This Row],[Gain/Loss]]</f>
        <v>1</v>
      </c>
      <c r="Q107" s="17">
        <f>IF(Table11[[#This Row],[Direction]]="L",0.5,IF(Table11[[#This Row],[Direction]]="M",1.5,2.5))</f>
        <v>2.5</v>
      </c>
      <c r="R107" s="17" t="str">
        <f>IF(Table11[[#This Row],[Direction]]="R","Right",IF(Table11[[#This Row],[Direction]]="L","Left","Middle"))</f>
        <v>Right</v>
      </c>
      <c r="S107" s="17">
        <f>IF(Table11[[#This Row],[Pass Zone]]="S",0.5,IF(Table11[[#This Row],[Pass Zone]]="M",1.5,2.5))</f>
        <v>2.5</v>
      </c>
      <c r="T107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07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107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04:  2nd &amp; 4 - 7</v>
      </c>
      <c r="W107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  <c r="Y107"/>
    </row>
    <row r="108" spans="1:25" x14ac:dyDescent="0.25">
      <c r="A108">
        <v>155</v>
      </c>
      <c r="B108">
        <v>3</v>
      </c>
      <c r="C108">
        <v>3</v>
      </c>
      <c r="D108">
        <v>4</v>
      </c>
      <c r="E108">
        <v>-36</v>
      </c>
      <c r="F108">
        <v>10</v>
      </c>
      <c r="G108" t="s">
        <v>70</v>
      </c>
      <c r="J108" t="s">
        <v>12</v>
      </c>
      <c r="K108" t="s">
        <v>72</v>
      </c>
      <c r="L108" t="s">
        <v>75</v>
      </c>
      <c r="M108">
        <v>1</v>
      </c>
      <c r="N108"/>
      <c r="O108"/>
      <c r="P108" s="17">
        <f>Table11[[#This Row],[Gain/Loss]]</f>
        <v>10</v>
      </c>
      <c r="Q108" s="17">
        <f>IF(Table11[[#This Row],[Direction]]="L",0.5,IF(Table11[[#This Row],[Direction]]="M",1.5,2.5))</f>
        <v>0.5</v>
      </c>
      <c r="R108" s="17" t="str">
        <f>IF(Table11[[#This Row],[Direction]]="R","Right",IF(Table11[[#This Row],[Direction]]="L","Left","Middle"))</f>
        <v>Left</v>
      </c>
      <c r="S108" s="17">
        <f>IF(Table11[[#This Row],[Pass Zone]]="S",0.5,IF(Table11[[#This Row],[Pass Zone]]="M",1.5,2.5))</f>
        <v>2.5</v>
      </c>
      <c r="T108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08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108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07:  3rd &amp; 4 - 7</v>
      </c>
      <c r="W108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  <c r="Y108"/>
    </row>
    <row r="109" spans="1:25" x14ac:dyDescent="0.25">
      <c r="A109">
        <v>156</v>
      </c>
      <c r="B109">
        <v>1</v>
      </c>
      <c r="C109">
        <v>1</v>
      </c>
      <c r="D109">
        <v>10</v>
      </c>
      <c r="E109">
        <v>-46</v>
      </c>
      <c r="F109">
        <v>12</v>
      </c>
      <c r="G109" t="s">
        <v>72</v>
      </c>
      <c r="J109" t="s">
        <v>12</v>
      </c>
      <c r="K109" t="s">
        <v>66</v>
      </c>
      <c r="L109" t="s">
        <v>74</v>
      </c>
      <c r="M109">
        <v>1</v>
      </c>
      <c r="N109"/>
      <c r="O109"/>
      <c r="P109" s="17">
        <f>Table11[[#This Row],[Gain/Loss]]</f>
        <v>12</v>
      </c>
      <c r="Q109" s="17">
        <f>IF(Table11[[#This Row],[Direction]]="L",0.5,IF(Table11[[#This Row],[Direction]]="M",1.5,2.5))</f>
        <v>2.5</v>
      </c>
      <c r="R109" s="17" t="str">
        <f>IF(Table11[[#This Row],[Direction]]="R","Right",IF(Table11[[#This Row],[Direction]]="L","Left","Middle"))</f>
        <v>Right</v>
      </c>
      <c r="S109" s="17">
        <f>IF(Table11[[#This Row],[Pass Zone]]="S",0.5,IF(Table11[[#This Row],[Pass Zone]]="M",1.5,2.5))</f>
        <v>2.5</v>
      </c>
      <c r="T109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09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109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109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  <c r="Y109"/>
    </row>
    <row r="110" spans="1:25" x14ac:dyDescent="0.25">
      <c r="A110">
        <v>157</v>
      </c>
      <c r="B110">
        <v>1</v>
      </c>
      <c r="C110">
        <v>1</v>
      </c>
      <c r="D110">
        <v>10</v>
      </c>
      <c r="E110">
        <v>42</v>
      </c>
      <c r="F110">
        <v>6</v>
      </c>
      <c r="G110" t="s">
        <v>72</v>
      </c>
      <c r="J110" t="s">
        <v>12</v>
      </c>
      <c r="K110" t="s">
        <v>66</v>
      </c>
      <c r="L110" t="s">
        <v>74</v>
      </c>
      <c r="M110">
        <v>1</v>
      </c>
      <c r="N110"/>
      <c r="O110"/>
      <c r="P110" s="17">
        <f>Table11[[#This Row],[Gain/Loss]]</f>
        <v>6</v>
      </c>
      <c r="Q110" s="17">
        <f>IF(Table11[[#This Row],[Direction]]="L",0.5,IF(Table11[[#This Row],[Direction]]="M",1.5,2.5))</f>
        <v>2.5</v>
      </c>
      <c r="R110" s="17" t="str">
        <f>IF(Table11[[#This Row],[Direction]]="R","Right",IF(Table11[[#This Row],[Direction]]="L","Left","Middle"))</f>
        <v>Right</v>
      </c>
      <c r="S110" s="17">
        <f>IF(Table11[[#This Row],[Pass Zone]]="S",0.5,IF(Table11[[#This Row],[Pass Zone]]="M",1.5,2.5))</f>
        <v>2.5</v>
      </c>
      <c r="T110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10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110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110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  <c r="Y110"/>
    </row>
    <row r="111" spans="1:25" x14ac:dyDescent="0.25">
      <c r="A111">
        <v>158</v>
      </c>
      <c r="B111">
        <v>2</v>
      </c>
      <c r="C111">
        <v>2</v>
      </c>
      <c r="D111">
        <v>4</v>
      </c>
      <c r="E111">
        <v>36</v>
      </c>
      <c r="F111">
        <v>-1</v>
      </c>
      <c r="G111" t="s">
        <v>72</v>
      </c>
      <c r="J111" t="s">
        <v>12</v>
      </c>
      <c r="K111" t="s">
        <v>66</v>
      </c>
      <c r="L111" t="s">
        <v>74</v>
      </c>
      <c r="M111">
        <v>1</v>
      </c>
      <c r="N111"/>
      <c r="O111"/>
      <c r="P111" s="17">
        <f>Table11[[#This Row],[Gain/Loss]]</f>
        <v>-1</v>
      </c>
      <c r="Q111" s="17">
        <f>IF(Table11[[#This Row],[Direction]]="L",0.5,IF(Table11[[#This Row],[Direction]]="M",1.5,2.5))</f>
        <v>2.5</v>
      </c>
      <c r="R111" s="17" t="str">
        <f>IF(Table11[[#This Row],[Direction]]="R","Right",IF(Table11[[#This Row],[Direction]]="L","Left","Middle"))</f>
        <v>Right</v>
      </c>
      <c r="S111" s="17">
        <f>IF(Table11[[#This Row],[Pass Zone]]="S",0.5,IF(Table11[[#This Row],[Pass Zone]]="M",1.5,2.5))</f>
        <v>2.5</v>
      </c>
      <c r="T111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11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111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04:  2nd &amp; 4 - 7</v>
      </c>
      <c r="W111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  <c r="Y111"/>
    </row>
    <row r="112" spans="1:25" x14ac:dyDescent="0.25">
      <c r="A112">
        <v>160</v>
      </c>
      <c r="B112">
        <v>3</v>
      </c>
      <c r="C112">
        <v>3</v>
      </c>
      <c r="D112">
        <v>10</v>
      </c>
      <c r="E112">
        <v>42</v>
      </c>
      <c r="F112">
        <v>-7</v>
      </c>
      <c r="G112" t="s">
        <v>66</v>
      </c>
      <c r="J112" t="s">
        <v>13</v>
      </c>
      <c r="K112" t="s">
        <v>70</v>
      </c>
      <c r="L112"/>
      <c r="M112">
        <v>1</v>
      </c>
      <c r="N112">
        <v>0</v>
      </c>
      <c r="O112" t="s">
        <v>67</v>
      </c>
      <c r="P112" s="17">
        <f>Table11[[#This Row],[Gain/Loss]]</f>
        <v>-7</v>
      </c>
      <c r="Q112" s="17">
        <f>IF(Table11[[#This Row],[Direction]]="L",0.5,IF(Table11[[#This Row],[Direction]]="M",1.5,2.5))</f>
        <v>1.5</v>
      </c>
      <c r="R112" s="17" t="str">
        <f>IF(Table11[[#This Row],[Direction]]="R","Right",IF(Table11[[#This Row],[Direction]]="L","Left","Middle"))</f>
        <v>Middle</v>
      </c>
      <c r="S112" s="17">
        <f>IF(Table11[[#This Row],[Pass Zone]]="S",0.5,IF(Table11[[#This Row],[Pass Zone]]="M",1.5,2.5))</f>
        <v>0.5</v>
      </c>
      <c r="T112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12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112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06:  3rd &amp; 8+</v>
      </c>
      <c r="W112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  <c r="Y112"/>
    </row>
    <row r="113" spans="1:25" x14ac:dyDescent="0.25">
      <c r="A113">
        <v>162</v>
      </c>
      <c r="B113">
        <v>4</v>
      </c>
      <c r="C113">
        <v>4</v>
      </c>
      <c r="D113">
        <v>17</v>
      </c>
      <c r="E113">
        <v>49</v>
      </c>
      <c r="F113">
        <v>0</v>
      </c>
      <c r="G113" t="s">
        <v>66</v>
      </c>
      <c r="J113" t="s">
        <v>13</v>
      </c>
      <c r="K113" t="s">
        <v>72</v>
      </c>
      <c r="L113"/>
      <c r="M113">
        <v>1</v>
      </c>
      <c r="N113">
        <v>0</v>
      </c>
      <c r="O113"/>
      <c r="P113" s="17">
        <f>Table11[[#This Row],[Gain/Loss]]</f>
        <v>0</v>
      </c>
      <c r="Q113" s="17">
        <f>IF(Table11[[#This Row],[Direction]]="L",0.5,IF(Table11[[#This Row],[Direction]]="M",1.5,2.5))</f>
        <v>0.5</v>
      </c>
      <c r="R113" s="17" t="str">
        <f>IF(Table11[[#This Row],[Direction]]="R","Right",IF(Table11[[#This Row],[Direction]]="L","Left","Middle"))</f>
        <v>Left</v>
      </c>
      <c r="S113" s="17">
        <f>IF(Table11[[#This Row],[Pass Zone]]="S",0.5,IF(Table11[[#This Row],[Pass Zone]]="M",1.5,2.5))</f>
        <v>2.5</v>
      </c>
      <c r="T113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13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113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09:  4th &amp; 2+</v>
      </c>
      <c r="W113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  <c r="Y113"/>
    </row>
    <row r="114" spans="1:25" x14ac:dyDescent="0.25">
      <c r="A114">
        <v>3</v>
      </c>
      <c r="B114">
        <v>1</v>
      </c>
      <c r="C114">
        <v>1</v>
      </c>
      <c r="D114">
        <v>5</v>
      </c>
      <c r="E114">
        <v>-36</v>
      </c>
      <c r="F114">
        <v>3</v>
      </c>
      <c r="G114" t="s">
        <v>72</v>
      </c>
      <c r="J114" t="s">
        <v>12</v>
      </c>
      <c r="K114" t="s">
        <v>72</v>
      </c>
      <c r="L114" t="s">
        <v>74</v>
      </c>
      <c r="M114">
        <v>1</v>
      </c>
      <c r="N114"/>
      <c r="O114"/>
      <c r="P114" s="17">
        <f>Table11[[#This Row],[Gain/Loss]]</f>
        <v>3</v>
      </c>
      <c r="Q114" s="17">
        <f>IF(Table11[[#This Row],[Direction]]="L",0.5,IF(Table11[[#This Row],[Direction]]="M",1.5,2.5))</f>
        <v>0.5</v>
      </c>
      <c r="R114" s="17" t="str">
        <f>IF(Table11[[#This Row],[Direction]]="R","Right",IF(Table11[[#This Row],[Direction]]="L","Left","Middle"))</f>
        <v>Left</v>
      </c>
      <c r="S114" s="17">
        <f>IF(Table11[[#This Row],[Pass Zone]]="S",0.5,IF(Table11[[#This Row],[Pass Zone]]="M",1.5,2.5))</f>
        <v>2.5</v>
      </c>
      <c r="T114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14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114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02:  1st &amp; &lt; 10</v>
      </c>
      <c r="W114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  <c r="Y114"/>
    </row>
    <row r="115" spans="1:25" x14ac:dyDescent="0.25">
      <c r="A115">
        <v>4</v>
      </c>
      <c r="B115">
        <v>2</v>
      </c>
      <c r="C115">
        <v>2</v>
      </c>
      <c r="D115">
        <v>2</v>
      </c>
      <c r="E115">
        <v>-39</v>
      </c>
      <c r="F115">
        <v>0</v>
      </c>
      <c r="G115" t="s">
        <v>72</v>
      </c>
      <c r="J115" t="s">
        <v>13</v>
      </c>
      <c r="K115" t="s">
        <v>66</v>
      </c>
      <c r="L115"/>
      <c r="M115">
        <v>1</v>
      </c>
      <c r="N115">
        <v>0</v>
      </c>
      <c r="O115"/>
      <c r="P115" s="17">
        <f>Table11[[#This Row],[Gain/Loss]]</f>
        <v>0</v>
      </c>
      <c r="Q115" s="17">
        <f>IF(Table11[[#This Row],[Direction]]="L",0.5,IF(Table11[[#This Row],[Direction]]="M",1.5,2.5))</f>
        <v>2.5</v>
      </c>
      <c r="R115" s="17" t="str">
        <f>IF(Table11[[#This Row],[Direction]]="R","Right",IF(Table11[[#This Row],[Direction]]="L","Left","Middle"))</f>
        <v>Right</v>
      </c>
      <c r="S115" s="17">
        <f>IF(Table11[[#This Row],[Pass Zone]]="S",0.5,IF(Table11[[#This Row],[Pass Zone]]="M",1.5,2.5))</f>
        <v>2.5</v>
      </c>
      <c r="T115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15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115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05:  2nd &amp; &lt; 4</v>
      </c>
      <c r="W115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  <c r="Y115"/>
    </row>
    <row r="116" spans="1:25" x14ac:dyDescent="0.25">
      <c r="A116">
        <v>5</v>
      </c>
      <c r="B116">
        <v>3</v>
      </c>
      <c r="C116">
        <v>3</v>
      </c>
      <c r="D116">
        <v>2</v>
      </c>
      <c r="E116">
        <v>-39</v>
      </c>
      <c r="F116">
        <v>53</v>
      </c>
      <c r="G116" t="s">
        <v>72</v>
      </c>
      <c r="J116" t="s">
        <v>12</v>
      </c>
      <c r="K116" t="s">
        <v>66</v>
      </c>
      <c r="L116" t="s">
        <v>74</v>
      </c>
      <c r="M116">
        <v>1</v>
      </c>
      <c r="N116"/>
      <c r="O116"/>
      <c r="P116" s="17">
        <f>Table11[[#This Row],[Gain/Loss]]</f>
        <v>53</v>
      </c>
      <c r="Q116" s="17">
        <f>IF(Table11[[#This Row],[Direction]]="L",0.5,IF(Table11[[#This Row],[Direction]]="M",1.5,2.5))</f>
        <v>2.5</v>
      </c>
      <c r="R116" s="17" t="str">
        <f>IF(Table11[[#This Row],[Direction]]="R","Right",IF(Table11[[#This Row],[Direction]]="L","Left","Middle"))</f>
        <v>Right</v>
      </c>
      <c r="S116" s="17">
        <f>IF(Table11[[#This Row],[Pass Zone]]="S",0.5,IF(Table11[[#This Row],[Pass Zone]]="M",1.5,2.5))</f>
        <v>2.5</v>
      </c>
      <c r="T116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16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116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08:  3rd &amp; &lt; 4</v>
      </c>
      <c r="W116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  <c r="Y116"/>
    </row>
    <row r="117" spans="1:25" x14ac:dyDescent="0.25">
      <c r="A117">
        <v>6</v>
      </c>
      <c r="B117">
        <v>1</v>
      </c>
      <c r="C117">
        <v>1</v>
      </c>
      <c r="D117">
        <v>8</v>
      </c>
      <c r="E117">
        <v>8</v>
      </c>
      <c r="F117">
        <v>8</v>
      </c>
      <c r="G117" t="s">
        <v>70</v>
      </c>
      <c r="J117" t="s">
        <v>12</v>
      </c>
      <c r="K117" t="s">
        <v>66</v>
      </c>
      <c r="L117" t="s">
        <v>74</v>
      </c>
      <c r="M117">
        <v>1</v>
      </c>
      <c r="N117"/>
      <c r="O117"/>
      <c r="P117" s="17">
        <f>Table11[[#This Row],[Gain/Loss]]</f>
        <v>8</v>
      </c>
      <c r="Q117" s="17">
        <f>IF(Table11[[#This Row],[Direction]]="L",0.5,IF(Table11[[#This Row],[Direction]]="M",1.5,2.5))</f>
        <v>2.5</v>
      </c>
      <c r="R117" s="17" t="str">
        <f>IF(Table11[[#This Row],[Direction]]="R","Right",IF(Table11[[#This Row],[Direction]]="L","Left","Middle"))</f>
        <v>Right</v>
      </c>
      <c r="S117" s="17">
        <f>IF(Table11[[#This Row],[Pass Zone]]="S",0.5,IF(Table11[[#This Row],[Pass Zone]]="M",1.5,2.5))</f>
        <v>2.5</v>
      </c>
      <c r="T117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17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117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02:  1st &amp; &lt; 10</v>
      </c>
      <c r="W117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Red Zone</v>
      </c>
      <c r="Y117"/>
    </row>
    <row r="118" spans="1:25" x14ac:dyDescent="0.25">
      <c r="A118">
        <v>21</v>
      </c>
      <c r="B118">
        <v>1</v>
      </c>
      <c r="C118">
        <v>1</v>
      </c>
      <c r="D118">
        <v>10</v>
      </c>
      <c r="E118">
        <v>-44</v>
      </c>
      <c r="F118">
        <v>1</v>
      </c>
      <c r="G118" t="s">
        <v>66</v>
      </c>
      <c r="J118" t="s">
        <v>12</v>
      </c>
      <c r="K118" t="s">
        <v>66</v>
      </c>
      <c r="L118" t="s">
        <v>74</v>
      </c>
      <c r="M118">
        <v>1</v>
      </c>
      <c r="N118"/>
      <c r="O118"/>
      <c r="P118" s="17">
        <f>Table11[[#This Row],[Gain/Loss]]</f>
        <v>1</v>
      </c>
      <c r="Q118" s="17">
        <f>IF(Table11[[#This Row],[Direction]]="L",0.5,IF(Table11[[#This Row],[Direction]]="M",1.5,2.5))</f>
        <v>2.5</v>
      </c>
      <c r="R118" s="17" t="str">
        <f>IF(Table11[[#This Row],[Direction]]="R","Right",IF(Table11[[#This Row],[Direction]]="L","Left","Middle"))</f>
        <v>Right</v>
      </c>
      <c r="S118" s="17">
        <f>IF(Table11[[#This Row],[Pass Zone]]="S",0.5,IF(Table11[[#This Row],[Pass Zone]]="M",1.5,2.5))</f>
        <v>2.5</v>
      </c>
      <c r="T118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18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118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118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  <c r="Y118"/>
    </row>
    <row r="119" spans="1:25" x14ac:dyDescent="0.25">
      <c r="A119">
        <v>22</v>
      </c>
      <c r="B119">
        <v>2</v>
      </c>
      <c r="C119">
        <v>2</v>
      </c>
      <c r="D119">
        <v>9</v>
      </c>
      <c r="E119">
        <v>-45</v>
      </c>
      <c r="F119">
        <v>1</v>
      </c>
      <c r="G119" t="s">
        <v>66</v>
      </c>
      <c r="J119" t="s">
        <v>12</v>
      </c>
      <c r="K119" t="s">
        <v>72</v>
      </c>
      <c r="L119" t="s">
        <v>74</v>
      </c>
      <c r="M119">
        <v>1</v>
      </c>
      <c r="N119"/>
      <c r="O119"/>
      <c r="P119" s="17">
        <f>Table11[[#This Row],[Gain/Loss]]</f>
        <v>1</v>
      </c>
      <c r="Q119" s="17">
        <f>IF(Table11[[#This Row],[Direction]]="L",0.5,IF(Table11[[#This Row],[Direction]]="M",1.5,2.5))</f>
        <v>0.5</v>
      </c>
      <c r="R119" s="17" t="str">
        <f>IF(Table11[[#This Row],[Direction]]="R","Right",IF(Table11[[#This Row],[Direction]]="L","Left","Middle"))</f>
        <v>Left</v>
      </c>
      <c r="S119" s="17">
        <f>IF(Table11[[#This Row],[Pass Zone]]="S",0.5,IF(Table11[[#This Row],[Pass Zone]]="M",1.5,2.5))</f>
        <v>2.5</v>
      </c>
      <c r="T119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19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119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03:  2nd &amp; 8+</v>
      </c>
      <c r="W119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  <c r="Y119"/>
    </row>
    <row r="120" spans="1:25" x14ac:dyDescent="0.25">
      <c r="A120">
        <v>25</v>
      </c>
      <c r="B120">
        <v>3</v>
      </c>
      <c r="C120">
        <v>3</v>
      </c>
      <c r="D120">
        <v>8</v>
      </c>
      <c r="E120">
        <v>-46</v>
      </c>
      <c r="F120">
        <v>0</v>
      </c>
      <c r="G120" t="s">
        <v>66</v>
      </c>
      <c r="J120" t="s">
        <v>13</v>
      </c>
      <c r="K120" t="s">
        <v>66</v>
      </c>
      <c r="L120"/>
      <c r="M120">
        <v>1</v>
      </c>
      <c r="N120">
        <v>0</v>
      </c>
      <c r="O120"/>
      <c r="P120" s="17">
        <f>Table11[[#This Row],[Gain/Loss]]</f>
        <v>0</v>
      </c>
      <c r="Q120" s="17">
        <f>IF(Table11[[#This Row],[Direction]]="L",0.5,IF(Table11[[#This Row],[Direction]]="M",1.5,2.5))</f>
        <v>2.5</v>
      </c>
      <c r="R120" s="17" t="str">
        <f>IF(Table11[[#This Row],[Direction]]="R","Right",IF(Table11[[#This Row],[Direction]]="L","Left","Middle"))</f>
        <v>Right</v>
      </c>
      <c r="S120" s="17">
        <f>IF(Table11[[#This Row],[Pass Zone]]="S",0.5,IF(Table11[[#This Row],[Pass Zone]]="M",1.5,2.5))</f>
        <v>2.5</v>
      </c>
      <c r="T120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20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120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06:  3rd &amp; 8+</v>
      </c>
      <c r="W120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  <c r="Y120"/>
    </row>
    <row r="121" spans="1:25" x14ac:dyDescent="0.25">
      <c r="A121">
        <v>31</v>
      </c>
      <c r="B121">
        <v>1</v>
      </c>
      <c r="C121">
        <v>1</v>
      </c>
      <c r="D121">
        <v>10</v>
      </c>
      <c r="E121">
        <v>-40</v>
      </c>
      <c r="F121">
        <v>14</v>
      </c>
      <c r="G121" t="s">
        <v>66</v>
      </c>
      <c r="J121" t="s">
        <v>12</v>
      </c>
      <c r="K121" t="s">
        <v>66</v>
      </c>
      <c r="L121" t="s">
        <v>75</v>
      </c>
      <c r="M121">
        <v>1</v>
      </c>
      <c r="N121"/>
      <c r="O121"/>
      <c r="P121" s="17">
        <f>Table11[[#This Row],[Gain/Loss]]</f>
        <v>14</v>
      </c>
      <c r="Q121" s="17">
        <f>IF(Table11[[#This Row],[Direction]]="L",0.5,IF(Table11[[#This Row],[Direction]]="M",1.5,2.5))</f>
        <v>2.5</v>
      </c>
      <c r="R121" s="17" t="str">
        <f>IF(Table11[[#This Row],[Direction]]="R","Right",IF(Table11[[#This Row],[Direction]]="L","Left","Middle"))</f>
        <v>Right</v>
      </c>
      <c r="S121" s="17">
        <f>IF(Table11[[#This Row],[Pass Zone]]="S",0.5,IF(Table11[[#This Row],[Pass Zone]]="M",1.5,2.5))</f>
        <v>2.5</v>
      </c>
      <c r="T121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21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121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121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  <c r="Y121"/>
    </row>
    <row r="122" spans="1:25" x14ac:dyDescent="0.25">
      <c r="A122">
        <v>32</v>
      </c>
      <c r="B122">
        <v>1</v>
      </c>
      <c r="C122">
        <v>1</v>
      </c>
      <c r="D122">
        <v>10</v>
      </c>
      <c r="E122">
        <v>46</v>
      </c>
      <c r="F122">
        <v>16</v>
      </c>
      <c r="G122" t="s">
        <v>66</v>
      </c>
      <c r="J122" t="s">
        <v>12</v>
      </c>
      <c r="K122" t="s">
        <v>66</v>
      </c>
      <c r="L122" t="s">
        <v>74</v>
      </c>
      <c r="M122">
        <v>1</v>
      </c>
      <c r="N122"/>
      <c r="O122"/>
      <c r="P122" s="17">
        <f>Table11[[#This Row],[Gain/Loss]]</f>
        <v>16</v>
      </c>
      <c r="Q122" s="17">
        <f>IF(Table11[[#This Row],[Direction]]="L",0.5,IF(Table11[[#This Row],[Direction]]="M",1.5,2.5))</f>
        <v>2.5</v>
      </c>
      <c r="R122" s="17" t="str">
        <f>IF(Table11[[#This Row],[Direction]]="R","Right",IF(Table11[[#This Row],[Direction]]="L","Left","Middle"))</f>
        <v>Right</v>
      </c>
      <c r="S122" s="17">
        <f>IF(Table11[[#This Row],[Pass Zone]]="S",0.5,IF(Table11[[#This Row],[Pass Zone]]="M",1.5,2.5))</f>
        <v>2.5</v>
      </c>
      <c r="T122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22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122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122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  <c r="Y122"/>
    </row>
    <row r="123" spans="1:25" x14ac:dyDescent="0.25">
      <c r="A123">
        <v>33</v>
      </c>
      <c r="B123">
        <v>1</v>
      </c>
      <c r="C123">
        <v>1</v>
      </c>
      <c r="D123">
        <v>10</v>
      </c>
      <c r="E123">
        <v>30</v>
      </c>
      <c r="F123">
        <v>-3</v>
      </c>
      <c r="G123" t="s">
        <v>66</v>
      </c>
      <c r="J123" t="s">
        <v>12</v>
      </c>
      <c r="K123" t="s">
        <v>66</v>
      </c>
      <c r="L123" t="s">
        <v>74</v>
      </c>
      <c r="M123">
        <v>1</v>
      </c>
      <c r="N123"/>
      <c r="O123"/>
      <c r="P123" s="17">
        <f>Table11[[#This Row],[Gain/Loss]]</f>
        <v>-3</v>
      </c>
      <c r="Q123" s="17">
        <f>IF(Table11[[#This Row],[Direction]]="L",0.5,IF(Table11[[#This Row],[Direction]]="M",1.5,2.5))</f>
        <v>2.5</v>
      </c>
      <c r="R123" s="17" t="str">
        <f>IF(Table11[[#This Row],[Direction]]="R","Right",IF(Table11[[#This Row],[Direction]]="L","Left","Middle"))</f>
        <v>Right</v>
      </c>
      <c r="S123" s="17">
        <f>IF(Table11[[#This Row],[Pass Zone]]="S",0.5,IF(Table11[[#This Row],[Pass Zone]]="M",1.5,2.5))</f>
        <v>2.5</v>
      </c>
      <c r="T123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23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123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123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  <c r="Y123"/>
    </row>
    <row r="124" spans="1:25" x14ac:dyDescent="0.25">
      <c r="A124">
        <v>34</v>
      </c>
      <c r="B124">
        <v>2</v>
      </c>
      <c r="C124">
        <v>2</v>
      </c>
      <c r="D124">
        <v>13</v>
      </c>
      <c r="E124">
        <v>33</v>
      </c>
      <c r="F124">
        <v>0</v>
      </c>
      <c r="G124" t="s">
        <v>66</v>
      </c>
      <c r="J124" t="s">
        <v>12</v>
      </c>
      <c r="K124" t="s">
        <v>66</v>
      </c>
      <c r="L124" t="s">
        <v>74</v>
      </c>
      <c r="M124">
        <v>1</v>
      </c>
      <c r="N124"/>
      <c r="O124"/>
      <c r="P124" s="17">
        <f>Table11[[#This Row],[Gain/Loss]]</f>
        <v>0</v>
      </c>
      <c r="Q124" s="17">
        <f>IF(Table11[[#This Row],[Direction]]="L",0.5,IF(Table11[[#This Row],[Direction]]="M",1.5,2.5))</f>
        <v>2.5</v>
      </c>
      <c r="R124" s="17" t="str">
        <f>IF(Table11[[#This Row],[Direction]]="R","Right",IF(Table11[[#This Row],[Direction]]="L","Left","Middle"))</f>
        <v>Right</v>
      </c>
      <c r="S124" s="17">
        <f>IF(Table11[[#This Row],[Pass Zone]]="S",0.5,IF(Table11[[#This Row],[Pass Zone]]="M",1.5,2.5))</f>
        <v>2.5</v>
      </c>
      <c r="T124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24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124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03:  2nd &amp; 8+</v>
      </c>
      <c r="W124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  <c r="Y124"/>
    </row>
    <row r="125" spans="1:25" x14ac:dyDescent="0.25">
      <c r="A125">
        <v>42</v>
      </c>
      <c r="B125">
        <v>1</v>
      </c>
      <c r="C125">
        <v>1</v>
      </c>
      <c r="D125">
        <v>10</v>
      </c>
      <c r="E125">
        <v>-20</v>
      </c>
      <c r="F125">
        <v>0</v>
      </c>
      <c r="G125" t="s">
        <v>66</v>
      </c>
      <c r="J125" t="s">
        <v>12</v>
      </c>
      <c r="K125" t="s">
        <v>66</v>
      </c>
      <c r="L125" t="s">
        <v>74</v>
      </c>
      <c r="M125">
        <v>1</v>
      </c>
      <c r="N125"/>
      <c r="O125"/>
      <c r="P125" s="17">
        <f>Table11[[#This Row],[Gain/Loss]]</f>
        <v>0</v>
      </c>
      <c r="Q125" s="17">
        <f>IF(Table11[[#This Row],[Direction]]="L",0.5,IF(Table11[[#This Row],[Direction]]="M",1.5,2.5))</f>
        <v>2.5</v>
      </c>
      <c r="R125" s="17" t="str">
        <f>IF(Table11[[#This Row],[Direction]]="R","Right",IF(Table11[[#This Row],[Direction]]="L","Left","Middle"))</f>
        <v>Right</v>
      </c>
      <c r="S125" s="17">
        <f>IF(Table11[[#This Row],[Pass Zone]]="S",0.5,IF(Table11[[#This Row],[Pass Zone]]="M",1.5,2.5))</f>
        <v>2.5</v>
      </c>
      <c r="T125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25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125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125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0-20</v>
      </c>
      <c r="Y125"/>
    </row>
    <row r="126" spans="1:25" x14ac:dyDescent="0.25">
      <c r="A126">
        <v>43</v>
      </c>
      <c r="B126">
        <v>2</v>
      </c>
      <c r="C126">
        <v>2</v>
      </c>
      <c r="D126">
        <v>10</v>
      </c>
      <c r="E126">
        <v>-20</v>
      </c>
      <c r="F126">
        <v>1</v>
      </c>
      <c r="G126" t="s">
        <v>66</v>
      </c>
      <c r="J126" t="s">
        <v>12</v>
      </c>
      <c r="K126" t="s">
        <v>72</v>
      </c>
      <c r="L126" t="s">
        <v>74</v>
      </c>
      <c r="M126">
        <v>1</v>
      </c>
      <c r="N126"/>
      <c r="O126"/>
      <c r="P126" s="17">
        <f>Table11[[#This Row],[Gain/Loss]]</f>
        <v>1</v>
      </c>
      <c r="Q126" s="17">
        <f>IF(Table11[[#This Row],[Direction]]="L",0.5,IF(Table11[[#This Row],[Direction]]="M",1.5,2.5))</f>
        <v>0.5</v>
      </c>
      <c r="R126" s="17" t="str">
        <f>IF(Table11[[#This Row],[Direction]]="R","Right",IF(Table11[[#This Row],[Direction]]="L","Left","Middle"))</f>
        <v>Left</v>
      </c>
      <c r="S126" s="17">
        <f>IF(Table11[[#This Row],[Pass Zone]]="S",0.5,IF(Table11[[#This Row],[Pass Zone]]="M",1.5,2.5))</f>
        <v>2.5</v>
      </c>
      <c r="T126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26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126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03:  2nd &amp; 8+</v>
      </c>
      <c r="W126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0-20</v>
      </c>
      <c r="Y126"/>
    </row>
    <row r="127" spans="1:25" x14ac:dyDescent="0.25">
      <c r="A127">
        <v>44</v>
      </c>
      <c r="B127">
        <v>3</v>
      </c>
      <c r="C127">
        <v>3</v>
      </c>
      <c r="D127">
        <v>9</v>
      </c>
      <c r="E127">
        <v>-21</v>
      </c>
      <c r="F127">
        <v>0</v>
      </c>
      <c r="G127" t="s">
        <v>72</v>
      </c>
      <c r="J127" t="s">
        <v>13</v>
      </c>
      <c r="K127" t="s">
        <v>72</v>
      </c>
      <c r="L127"/>
      <c r="M127">
        <v>1</v>
      </c>
      <c r="N127">
        <v>0</v>
      </c>
      <c r="O127"/>
      <c r="P127" s="17">
        <f>Table11[[#This Row],[Gain/Loss]]</f>
        <v>0</v>
      </c>
      <c r="Q127" s="17">
        <f>IF(Table11[[#This Row],[Direction]]="L",0.5,IF(Table11[[#This Row],[Direction]]="M",1.5,2.5))</f>
        <v>0.5</v>
      </c>
      <c r="R127" s="17" t="str">
        <f>IF(Table11[[#This Row],[Direction]]="R","Right",IF(Table11[[#This Row],[Direction]]="L","Left","Middle"))</f>
        <v>Left</v>
      </c>
      <c r="S127" s="17">
        <f>IF(Table11[[#This Row],[Pass Zone]]="S",0.5,IF(Table11[[#This Row],[Pass Zone]]="M",1.5,2.5))</f>
        <v>2.5</v>
      </c>
      <c r="T127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27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127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06:  3rd &amp; 8+</v>
      </c>
      <c r="W127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  <c r="Y127"/>
    </row>
    <row r="128" spans="1:25" x14ac:dyDescent="0.25">
      <c r="A128">
        <v>59</v>
      </c>
      <c r="B128">
        <v>1</v>
      </c>
      <c r="C128">
        <v>1</v>
      </c>
      <c r="D128">
        <v>10</v>
      </c>
      <c r="E128">
        <v>-20</v>
      </c>
      <c r="F128">
        <v>1</v>
      </c>
      <c r="G128" t="s">
        <v>72</v>
      </c>
      <c r="J128" t="s">
        <v>12</v>
      </c>
      <c r="K128" t="s">
        <v>66</v>
      </c>
      <c r="L128" t="s">
        <v>74</v>
      </c>
      <c r="M128">
        <v>1</v>
      </c>
      <c r="N128"/>
      <c r="O128"/>
      <c r="P128" s="17">
        <f>Table11[[#This Row],[Gain/Loss]]</f>
        <v>1</v>
      </c>
      <c r="Q128" s="17">
        <f>IF(Table11[[#This Row],[Direction]]="L",0.5,IF(Table11[[#This Row],[Direction]]="M",1.5,2.5))</f>
        <v>2.5</v>
      </c>
      <c r="R128" s="17" t="str">
        <f>IF(Table11[[#This Row],[Direction]]="R","Right",IF(Table11[[#This Row],[Direction]]="L","Left","Middle"))</f>
        <v>Right</v>
      </c>
      <c r="S128" s="17">
        <f>IF(Table11[[#This Row],[Pass Zone]]="S",0.5,IF(Table11[[#This Row],[Pass Zone]]="M",1.5,2.5))</f>
        <v>2.5</v>
      </c>
      <c r="T128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28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128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128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0-20</v>
      </c>
      <c r="Y128"/>
    </row>
    <row r="129" spans="1:25" x14ac:dyDescent="0.25">
      <c r="A129">
        <v>60</v>
      </c>
      <c r="B129">
        <v>2</v>
      </c>
      <c r="C129">
        <v>2</v>
      </c>
      <c r="D129">
        <v>9</v>
      </c>
      <c r="E129">
        <v>-21</v>
      </c>
      <c r="F129">
        <v>10</v>
      </c>
      <c r="G129" t="s">
        <v>70</v>
      </c>
      <c r="J129" t="s">
        <v>12</v>
      </c>
      <c r="K129" t="s">
        <v>72</v>
      </c>
      <c r="L129" t="s">
        <v>74</v>
      </c>
      <c r="M129">
        <v>1</v>
      </c>
      <c r="N129"/>
      <c r="O129"/>
      <c r="P129" s="17">
        <f>Table11[[#This Row],[Gain/Loss]]</f>
        <v>10</v>
      </c>
      <c r="Q129" s="17">
        <f>IF(Table11[[#This Row],[Direction]]="L",0.5,IF(Table11[[#This Row],[Direction]]="M",1.5,2.5))</f>
        <v>0.5</v>
      </c>
      <c r="R129" s="17" t="str">
        <f>IF(Table11[[#This Row],[Direction]]="R","Right",IF(Table11[[#This Row],[Direction]]="L","Left","Middle"))</f>
        <v>Left</v>
      </c>
      <c r="S129" s="17">
        <f>IF(Table11[[#This Row],[Pass Zone]]="S",0.5,IF(Table11[[#This Row],[Pass Zone]]="M",1.5,2.5))</f>
        <v>2.5</v>
      </c>
      <c r="T129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29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129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03:  2nd &amp; 8+</v>
      </c>
      <c r="W129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  <c r="Y129"/>
    </row>
    <row r="130" spans="1:25" x14ac:dyDescent="0.25">
      <c r="A130">
        <v>61</v>
      </c>
      <c r="B130">
        <v>1</v>
      </c>
      <c r="C130">
        <v>1</v>
      </c>
      <c r="D130">
        <v>10</v>
      </c>
      <c r="E130">
        <v>-31</v>
      </c>
      <c r="F130">
        <v>27</v>
      </c>
      <c r="G130" t="s">
        <v>72</v>
      </c>
      <c r="J130" t="s">
        <v>12</v>
      </c>
      <c r="K130" t="s">
        <v>66</v>
      </c>
      <c r="L130" t="s">
        <v>74</v>
      </c>
      <c r="M130">
        <v>1</v>
      </c>
      <c r="N130"/>
      <c r="O130"/>
      <c r="P130" s="17">
        <f>Table11[[#This Row],[Gain/Loss]]</f>
        <v>27</v>
      </c>
      <c r="Q130" s="17">
        <f>IF(Table11[[#This Row],[Direction]]="L",0.5,IF(Table11[[#This Row],[Direction]]="M",1.5,2.5))</f>
        <v>2.5</v>
      </c>
      <c r="R130" s="17" t="str">
        <f>IF(Table11[[#This Row],[Direction]]="R","Right",IF(Table11[[#This Row],[Direction]]="L","Left","Middle"))</f>
        <v>Right</v>
      </c>
      <c r="S130" s="17">
        <f>IF(Table11[[#This Row],[Pass Zone]]="S",0.5,IF(Table11[[#This Row],[Pass Zone]]="M",1.5,2.5))</f>
        <v>2.5</v>
      </c>
      <c r="T130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30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130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130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  <c r="Y130"/>
    </row>
    <row r="131" spans="1:25" x14ac:dyDescent="0.25">
      <c r="A131">
        <v>62</v>
      </c>
      <c r="B131">
        <v>1</v>
      </c>
      <c r="C131">
        <v>1</v>
      </c>
      <c r="D131">
        <v>10</v>
      </c>
      <c r="E131">
        <v>42</v>
      </c>
      <c r="F131">
        <v>1</v>
      </c>
      <c r="G131" t="s">
        <v>66</v>
      </c>
      <c r="J131" t="s">
        <v>12</v>
      </c>
      <c r="K131" t="s">
        <v>66</v>
      </c>
      <c r="L131" t="s">
        <v>74</v>
      </c>
      <c r="M131">
        <v>1</v>
      </c>
      <c r="N131"/>
      <c r="O131"/>
      <c r="P131" s="17">
        <f>Table11[[#This Row],[Gain/Loss]]</f>
        <v>1</v>
      </c>
      <c r="Q131" s="17">
        <f>IF(Table11[[#This Row],[Direction]]="L",0.5,IF(Table11[[#This Row],[Direction]]="M",1.5,2.5))</f>
        <v>2.5</v>
      </c>
      <c r="R131" s="17" t="str">
        <f>IF(Table11[[#This Row],[Direction]]="R","Right",IF(Table11[[#This Row],[Direction]]="L","Left","Middle"))</f>
        <v>Right</v>
      </c>
      <c r="S131" s="17">
        <f>IF(Table11[[#This Row],[Pass Zone]]="S",0.5,IF(Table11[[#This Row],[Pass Zone]]="M",1.5,2.5))</f>
        <v>2.5</v>
      </c>
      <c r="T131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31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131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131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  <c r="Y131"/>
    </row>
    <row r="132" spans="1:25" x14ac:dyDescent="0.25">
      <c r="A132">
        <v>63</v>
      </c>
      <c r="B132">
        <v>2</v>
      </c>
      <c r="C132">
        <v>2</v>
      </c>
      <c r="D132">
        <v>9</v>
      </c>
      <c r="E132">
        <v>41</v>
      </c>
      <c r="F132">
        <v>-4</v>
      </c>
      <c r="G132" t="s">
        <v>66</v>
      </c>
      <c r="J132" t="s">
        <v>12</v>
      </c>
      <c r="K132" t="s">
        <v>72</v>
      </c>
      <c r="L132" t="s">
        <v>74</v>
      </c>
      <c r="M132">
        <v>1</v>
      </c>
      <c r="N132"/>
      <c r="O132"/>
      <c r="P132" s="17">
        <f>Table11[[#This Row],[Gain/Loss]]</f>
        <v>-4</v>
      </c>
      <c r="Q132" s="17">
        <f>IF(Table11[[#This Row],[Direction]]="L",0.5,IF(Table11[[#This Row],[Direction]]="M",1.5,2.5))</f>
        <v>0.5</v>
      </c>
      <c r="R132" s="17" t="str">
        <f>IF(Table11[[#This Row],[Direction]]="R","Right",IF(Table11[[#This Row],[Direction]]="L","Left","Middle"))</f>
        <v>Left</v>
      </c>
      <c r="S132" s="17">
        <f>IF(Table11[[#This Row],[Pass Zone]]="S",0.5,IF(Table11[[#This Row],[Pass Zone]]="M",1.5,2.5))</f>
        <v>2.5</v>
      </c>
      <c r="T132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32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132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03:  2nd &amp; 8+</v>
      </c>
      <c r="W132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  <c r="Y132"/>
    </row>
    <row r="133" spans="1:25" x14ac:dyDescent="0.25">
      <c r="A133">
        <v>78</v>
      </c>
      <c r="B133">
        <v>1</v>
      </c>
      <c r="C133">
        <v>1</v>
      </c>
      <c r="D133">
        <v>10</v>
      </c>
      <c r="E133">
        <v>-7</v>
      </c>
      <c r="F133">
        <v>8</v>
      </c>
      <c r="G133" t="s">
        <v>66</v>
      </c>
      <c r="J133" t="s">
        <v>12</v>
      </c>
      <c r="K133" t="s">
        <v>66</v>
      </c>
      <c r="L133" t="s">
        <v>74</v>
      </c>
      <c r="M133">
        <v>1</v>
      </c>
      <c r="N133"/>
      <c r="O133"/>
      <c r="P133" s="17">
        <f>Table11[[#This Row],[Gain/Loss]]</f>
        <v>8</v>
      </c>
      <c r="Q133" s="17">
        <f>IF(Table11[[#This Row],[Direction]]="L",0.5,IF(Table11[[#This Row],[Direction]]="M",1.5,2.5))</f>
        <v>2.5</v>
      </c>
      <c r="R133" s="17" t="str">
        <f>IF(Table11[[#This Row],[Direction]]="R","Right",IF(Table11[[#This Row],[Direction]]="L","Left","Middle"))</f>
        <v>Right</v>
      </c>
      <c r="S133" s="17">
        <f>IF(Table11[[#This Row],[Pass Zone]]="S",0.5,IF(Table11[[#This Row],[Pass Zone]]="M",1.5,2.5))</f>
        <v>2.5</v>
      </c>
      <c r="T133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33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133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133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0-20</v>
      </c>
      <c r="Y133"/>
    </row>
    <row r="134" spans="1:25" x14ac:dyDescent="0.25">
      <c r="A134">
        <v>80</v>
      </c>
      <c r="B134">
        <v>2</v>
      </c>
      <c r="C134">
        <v>2</v>
      </c>
      <c r="D134">
        <v>7</v>
      </c>
      <c r="E134">
        <v>-10</v>
      </c>
      <c r="F134">
        <v>2</v>
      </c>
      <c r="G134" t="s">
        <v>66</v>
      </c>
      <c r="J134" t="s">
        <v>12</v>
      </c>
      <c r="K134" t="s">
        <v>66</v>
      </c>
      <c r="L134" t="s">
        <v>74</v>
      </c>
      <c r="M134">
        <v>1</v>
      </c>
      <c r="N134"/>
      <c r="O134"/>
      <c r="P134" s="17">
        <f>Table11[[#This Row],[Gain/Loss]]</f>
        <v>2</v>
      </c>
      <c r="Q134" s="17">
        <f>IF(Table11[[#This Row],[Direction]]="L",0.5,IF(Table11[[#This Row],[Direction]]="M",1.5,2.5))</f>
        <v>2.5</v>
      </c>
      <c r="R134" s="17" t="str">
        <f>IF(Table11[[#This Row],[Direction]]="R","Right",IF(Table11[[#This Row],[Direction]]="L","Left","Middle"))</f>
        <v>Right</v>
      </c>
      <c r="S134" s="17">
        <f>IF(Table11[[#This Row],[Pass Zone]]="S",0.5,IF(Table11[[#This Row],[Pass Zone]]="M",1.5,2.5))</f>
        <v>2.5</v>
      </c>
      <c r="T134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34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134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04:  2nd &amp; 4 - 7</v>
      </c>
      <c r="W134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0-20</v>
      </c>
      <c r="Y134"/>
    </row>
    <row r="135" spans="1:25" x14ac:dyDescent="0.25">
      <c r="A135">
        <v>81</v>
      </c>
      <c r="B135">
        <v>3</v>
      </c>
      <c r="C135">
        <v>3</v>
      </c>
      <c r="D135">
        <v>5</v>
      </c>
      <c r="E135">
        <v>-12</v>
      </c>
      <c r="F135">
        <v>6</v>
      </c>
      <c r="G135" t="s">
        <v>66</v>
      </c>
      <c r="J135" t="s">
        <v>12</v>
      </c>
      <c r="K135" t="s">
        <v>72</v>
      </c>
      <c r="L135" t="s">
        <v>74</v>
      </c>
      <c r="M135">
        <v>1</v>
      </c>
      <c r="N135"/>
      <c r="O135"/>
      <c r="P135" s="17">
        <f>Table11[[#This Row],[Gain/Loss]]</f>
        <v>6</v>
      </c>
      <c r="Q135" s="17">
        <f>IF(Table11[[#This Row],[Direction]]="L",0.5,IF(Table11[[#This Row],[Direction]]="M",1.5,2.5))</f>
        <v>0.5</v>
      </c>
      <c r="R135" s="17" t="str">
        <f>IF(Table11[[#This Row],[Direction]]="R","Right",IF(Table11[[#This Row],[Direction]]="L","Left","Middle"))</f>
        <v>Left</v>
      </c>
      <c r="S135" s="17">
        <f>IF(Table11[[#This Row],[Pass Zone]]="S",0.5,IF(Table11[[#This Row],[Pass Zone]]="M",1.5,2.5))</f>
        <v>2.5</v>
      </c>
      <c r="T135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35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135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07:  3rd &amp; 4 - 7</v>
      </c>
      <c r="W135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0-20</v>
      </c>
      <c r="Y135"/>
    </row>
    <row r="136" spans="1:25" x14ac:dyDescent="0.25">
      <c r="A136">
        <v>82</v>
      </c>
      <c r="B136">
        <v>1</v>
      </c>
      <c r="C136">
        <v>1</v>
      </c>
      <c r="D136">
        <v>10</v>
      </c>
      <c r="E136">
        <v>-18</v>
      </c>
      <c r="F136">
        <v>0</v>
      </c>
      <c r="G136" t="s">
        <v>66</v>
      </c>
      <c r="J136" t="s">
        <v>13</v>
      </c>
      <c r="K136" t="s">
        <v>66</v>
      </c>
      <c r="L136"/>
      <c r="M136">
        <v>1</v>
      </c>
      <c r="N136">
        <v>0</v>
      </c>
      <c r="O136"/>
      <c r="P136" s="17">
        <f>Table11[[#This Row],[Gain/Loss]]</f>
        <v>0</v>
      </c>
      <c r="Q136" s="17">
        <f>IF(Table11[[#This Row],[Direction]]="L",0.5,IF(Table11[[#This Row],[Direction]]="M",1.5,2.5))</f>
        <v>2.5</v>
      </c>
      <c r="R136" s="17" t="str">
        <f>IF(Table11[[#This Row],[Direction]]="R","Right",IF(Table11[[#This Row],[Direction]]="L","Left","Middle"))</f>
        <v>Right</v>
      </c>
      <c r="S136" s="17">
        <f>IF(Table11[[#This Row],[Pass Zone]]="S",0.5,IF(Table11[[#This Row],[Pass Zone]]="M",1.5,2.5))</f>
        <v>2.5</v>
      </c>
      <c r="T136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36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136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136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0-20</v>
      </c>
      <c r="Y136"/>
    </row>
    <row r="137" spans="1:25" x14ac:dyDescent="0.25">
      <c r="A137">
        <v>83</v>
      </c>
      <c r="B137">
        <v>2</v>
      </c>
      <c r="C137">
        <v>2</v>
      </c>
      <c r="D137">
        <v>10</v>
      </c>
      <c r="E137">
        <v>-18</v>
      </c>
      <c r="F137">
        <v>0</v>
      </c>
      <c r="G137" t="s">
        <v>66</v>
      </c>
      <c r="J137" t="s">
        <v>13</v>
      </c>
      <c r="K137" t="s">
        <v>72</v>
      </c>
      <c r="L137"/>
      <c r="M137">
        <v>1</v>
      </c>
      <c r="N137">
        <v>0</v>
      </c>
      <c r="O137"/>
      <c r="P137" s="17">
        <f>Table11[[#This Row],[Gain/Loss]]</f>
        <v>0</v>
      </c>
      <c r="Q137" s="17">
        <f>IF(Table11[[#This Row],[Direction]]="L",0.5,IF(Table11[[#This Row],[Direction]]="M",1.5,2.5))</f>
        <v>0.5</v>
      </c>
      <c r="R137" s="17" t="str">
        <f>IF(Table11[[#This Row],[Direction]]="R","Right",IF(Table11[[#This Row],[Direction]]="L","Left","Middle"))</f>
        <v>Left</v>
      </c>
      <c r="S137" s="17">
        <f>IF(Table11[[#This Row],[Pass Zone]]="S",0.5,IF(Table11[[#This Row],[Pass Zone]]="M",1.5,2.5))</f>
        <v>2.5</v>
      </c>
      <c r="T137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37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137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03:  2nd &amp; 8+</v>
      </c>
      <c r="W137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0-20</v>
      </c>
      <c r="Y137"/>
    </row>
    <row r="138" spans="1:25" x14ac:dyDescent="0.25">
      <c r="A138">
        <v>84</v>
      </c>
      <c r="B138">
        <v>3</v>
      </c>
      <c r="C138">
        <v>3</v>
      </c>
      <c r="D138">
        <v>10</v>
      </c>
      <c r="E138">
        <v>-18</v>
      </c>
      <c r="F138">
        <v>-11</v>
      </c>
      <c r="G138" t="s">
        <v>66</v>
      </c>
      <c r="J138" t="s">
        <v>12</v>
      </c>
      <c r="K138" t="s">
        <v>72</v>
      </c>
      <c r="L138" t="s">
        <v>74</v>
      </c>
      <c r="M138">
        <v>1</v>
      </c>
      <c r="N138"/>
      <c r="O138"/>
      <c r="P138" s="17">
        <f>Table11[[#This Row],[Gain/Loss]]</f>
        <v>-11</v>
      </c>
      <c r="Q138" s="17">
        <f>IF(Table11[[#This Row],[Direction]]="L",0.5,IF(Table11[[#This Row],[Direction]]="M",1.5,2.5))</f>
        <v>0.5</v>
      </c>
      <c r="R138" s="17" t="str">
        <f>IF(Table11[[#This Row],[Direction]]="R","Right",IF(Table11[[#This Row],[Direction]]="L","Left","Middle"))</f>
        <v>Left</v>
      </c>
      <c r="S138" s="17">
        <f>IF(Table11[[#This Row],[Pass Zone]]="S",0.5,IF(Table11[[#This Row],[Pass Zone]]="M",1.5,2.5))</f>
        <v>2.5</v>
      </c>
      <c r="T138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38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138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06:  3rd &amp; 8+</v>
      </c>
      <c r="W138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0-20</v>
      </c>
      <c r="Y138"/>
    </row>
    <row r="139" spans="1:25" x14ac:dyDescent="0.25">
      <c r="A139">
        <v>92</v>
      </c>
      <c r="B139">
        <v>1</v>
      </c>
      <c r="C139">
        <v>1</v>
      </c>
      <c r="D139">
        <v>10</v>
      </c>
      <c r="E139">
        <v>-30</v>
      </c>
      <c r="F139">
        <v>3</v>
      </c>
      <c r="G139" t="s">
        <v>70</v>
      </c>
      <c r="J139" t="s">
        <v>12</v>
      </c>
      <c r="K139" t="s">
        <v>72</v>
      </c>
      <c r="L139" t="s">
        <v>74</v>
      </c>
      <c r="M139">
        <v>1</v>
      </c>
      <c r="N139"/>
      <c r="O139"/>
      <c r="P139" s="17">
        <f>Table11[[#This Row],[Gain/Loss]]</f>
        <v>3</v>
      </c>
      <c r="Q139" s="17">
        <f>IF(Table11[[#This Row],[Direction]]="L",0.5,IF(Table11[[#This Row],[Direction]]="M",1.5,2.5))</f>
        <v>0.5</v>
      </c>
      <c r="R139" s="17" t="str">
        <f>IF(Table11[[#This Row],[Direction]]="R","Right",IF(Table11[[#This Row],[Direction]]="L","Left","Middle"))</f>
        <v>Left</v>
      </c>
      <c r="S139" s="17">
        <f>IF(Table11[[#This Row],[Pass Zone]]="S",0.5,IF(Table11[[#This Row],[Pass Zone]]="M",1.5,2.5))</f>
        <v>2.5</v>
      </c>
      <c r="T139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39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139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139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  <c r="Y139"/>
    </row>
    <row r="140" spans="1:25" x14ac:dyDescent="0.25">
      <c r="A140">
        <v>93</v>
      </c>
      <c r="B140">
        <v>2</v>
      </c>
      <c r="C140">
        <v>2</v>
      </c>
      <c r="D140">
        <v>7</v>
      </c>
      <c r="E140">
        <v>-33</v>
      </c>
      <c r="F140">
        <v>0</v>
      </c>
      <c r="G140" t="s">
        <v>72</v>
      </c>
      <c r="J140" t="s">
        <v>12</v>
      </c>
      <c r="K140" t="s">
        <v>66</v>
      </c>
      <c r="L140" t="s">
        <v>74</v>
      </c>
      <c r="M140">
        <v>1</v>
      </c>
      <c r="N140"/>
      <c r="O140"/>
      <c r="P140" s="17">
        <f>Table11[[#This Row],[Gain/Loss]]</f>
        <v>0</v>
      </c>
      <c r="Q140" s="17">
        <f>IF(Table11[[#This Row],[Direction]]="L",0.5,IF(Table11[[#This Row],[Direction]]="M",1.5,2.5))</f>
        <v>2.5</v>
      </c>
      <c r="R140" s="17" t="str">
        <f>IF(Table11[[#This Row],[Direction]]="R","Right",IF(Table11[[#This Row],[Direction]]="L","Left","Middle"))</f>
        <v>Right</v>
      </c>
      <c r="S140" s="17">
        <f>IF(Table11[[#This Row],[Pass Zone]]="S",0.5,IF(Table11[[#This Row],[Pass Zone]]="M",1.5,2.5))</f>
        <v>2.5</v>
      </c>
      <c r="T140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40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140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04:  2nd &amp; 4 - 7</v>
      </c>
      <c r="W140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  <c r="Y140"/>
    </row>
    <row r="141" spans="1:25" x14ac:dyDescent="0.25">
      <c r="A141">
        <v>106</v>
      </c>
      <c r="B141">
        <v>1</v>
      </c>
      <c r="C141">
        <v>1</v>
      </c>
      <c r="D141">
        <v>10</v>
      </c>
      <c r="E141">
        <v>-33</v>
      </c>
      <c r="F141">
        <v>1</v>
      </c>
      <c r="G141" t="s">
        <v>66</v>
      </c>
      <c r="J141" t="s">
        <v>12</v>
      </c>
      <c r="K141" t="s">
        <v>66</v>
      </c>
      <c r="L141" t="s">
        <v>74</v>
      </c>
      <c r="M141">
        <v>1</v>
      </c>
      <c r="N141"/>
      <c r="O141"/>
      <c r="P141" s="17">
        <f>Table11[[#This Row],[Gain/Loss]]</f>
        <v>1</v>
      </c>
      <c r="Q141" s="17">
        <f>IF(Table11[[#This Row],[Direction]]="L",0.5,IF(Table11[[#This Row],[Direction]]="M",1.5,2.5))</f>
        <v>2.5</v>
      </c>
      <c r="R141" s="17" t="str">
        <f>IF(Table11[[#This Row],[Direction]]="R","Right",IF(Table11[[#This Row],[Direction]]="L","Left","Middle"))</f>
        <v>Right</v>
      </c>
      <c r="S141" s="17">
        <f>IF(Table11[[#This Row],[Pass Zone]]="S",0.5,IF(Table11[[#This Row],[Pass Zone]]="M",1.5,2.5))</f>
        <v>2.5</v>
      </c>
      <c r="T141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41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141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141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  <c r="Y141"/>
    </row>
    <row r="142" spans="1:25" x14ac:dyDescent="0.25">
      <c r="A142">
        <v>107</v>
      </c>
      <c r="B142">
        <v>2</v>
      </c>
      <c r="C142">
        <v>2</v>
      </c>
      <c r="D142">
        <v>9</v>
      </c>
      <c r="E142">
        <v>-34</v>
      </c>
      <c r="F142">
        <v>-3</v>
      </c>
      <c r="G142" t="s">
        <v>66</v>
      </c>
      <c r="J142" t="s">
        <v>13</v>
      </c>
      <c r="K142" t="s">
        <v>70</v>
      </c>
      <c r="L142"/>
      <c r="M142">
        <v>1</v>
      </c>
      <c r="N142">
        <v>0</v>
      </c>
      <c r="O142" t="s">
        <v>67</v>
      </c>
      <c r="P142" s="17">
        <f>Table11[[#This Row],[Gain/Loss]]</f>
        <v>-3</v>
      </c>
      <c r="Q142" s="17">
        <f>IF(Table11[[#This Row],[Direction]]="L",0.5,IF(Table11[[#This Row],[Direction]]="M",1.5,2.5))</f>
        <v>1.5</v>
      </c>
      <c r="R142" s="17" t="str">
        <f>IF(Table11[[#This Row],[Direction]]="R","Right",IF(Table11[[#This Row],[Direction]]="L","Left","Middle"))</f>
        <v>Middle</v>
      </c>
      <c r="S142" s="17">
        <f>IF(Table11[[#This Row],[Pass Zone]]="S",0.5,IF(Table11[[#This Row],[Pass Zone]]="M",1.5,2.5))</f>
        <v>0.5</v>
      </c>
      <c r="T142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42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142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03:  2nd &amp; 8+</v>
      </c>
      <c r="W142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  <c r="Y142"/>
    </row>
    <row r="143" spans="1:25" x14ac:dyDescent="0.25">
      <c r="A143">
        <v>108</v>
      </c>
      <c r="B143">
        <v>3</v>
      </c>
      <c r="C143">
        <v>3</v>
      </c>
      <c r="D143">
        <v>12</v>
      </c>
      <c r="E143">
        <v>-31</v>
      </c>
      <c r="F143">
        <v>1</v>
      </c>
      <c r="G143" t="s">
        <v>70</v>
      </c>
      <c r="J143" t="s">
        <v>12</v>
      </c>
      <c r="K143" t="s">
        <v>72</v>
      </c>
      <c r="L143" t="s">
        <v>74</v>
      </c>
      <c r="M143">
        <v>1</v>
      </c>
      <c r="N143"/>
      <c r="O143"/>
      <c r="P143" s="17">
        <f>Table11[[#This Row],[Gain/Loss]]</f>
        <v>1</v>
      </c>
      <c r="Q143" s="17">
        <f>IF(Table11[[#This Row],[Direction]]="L",0.5,IF(Table11[[#This Row],[Direction]]="M",1.5,2.5))</f>
        <v>0.5</v>
      </c>
      <c r="R143" s="17" t="str">
        <f>IF(Table11[[#This Row],[Direction]]="R","Right",IF(Table11[[#This Row],[Direction]]="L","Left","Middle"))</f>
        <v>Left</v>
      </c>
      <c r="S143" s="17">
        <f>IF(Table11[[#This Row],[Pass Zone]]="S",0.5,IF(Table11[[#This Row],[Pass Zone]]="M",1.5,2.5))</f>
        <v>2.5</v>
      </c>
      <c r="T143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43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143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06:  3rd &amp; 8+</v>
      </c>
      <c r="W143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  <c r="Y143"/>
    </row>
    <row r="144" spans="1:25" x14ac:dyDescent="0.25">
      <c r="A144">
        <v>117</v>
      </c>
      <c r="B144">
        <v>1</v>
      </c>
      <c r="C144">
        <v>1</v>
      </c>
      <c r="D144">
        <v>10</v>
      </c>
      <c r="E144">
        <v>-19</v>
      </c>
      <c r="F144">
        <v>1</v>
      </c>
      <c r="G144" t="s">
        <v>66</v>
      </c>
      <c r="J144" t="s">
        <v>12</v>
      </c>
      <c r="K144" t="s">
        <v>72</v>
      </c>
      <c r="L144" t="s">
        <v>74</v>
      </c>
      <c r="M144">
        <v>1</v>
      </c>
      <c r="N144"/>
      <c r="O144"/>
      <c r="P144" s="17">
        <f>Table11[[#This Row],[Gain/Loss]]</f>
        <v>1</v>
      </c>
      <c r="Q144" s="17">
        <f>IF(Table11[[#This Row],[Direction]]="L",0.5,IF(Table11[[#This Row],[Direction]]="M",1.5,2.5))</f>
        <v>0.5</v>
      </c>
      <c r="R144" s="17" t="str">
        <f>IF(Table11[[#This Row],[Direction]]="R","Right",IF(Table11[[#This Row],[Direction]]="L","Left","Middle"))</f>
        <v>Left</v>
      </c>
      <c r="S144" s="17">
        <f>IF(Table11[[#This Row],[Pass Zone]]="S",0.5,IF(Table11[[#This Row],[Pass Zone]]="M",1.5,2.5))</f>
        <v>2.5</v>
      </c>
      <c r="T144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44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144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144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0-20</v>
      </c>
      <c r="Y144"/>
    </row>
    <row r="145" spans="1:25" x14ac:dyDescent="0.25">
      <c r="A145">
        <v>119</v>
      </c>
      <c r="B145">
        <v>2</v>
      </c>
      <c r="C145">
        <v>2</v>
      </c>
      <c r="D145">
        <v>9</v>
      </c>
      <c r="E145">
        <v>-20</v>
      </c>
      <c r="F145">
        <v>10</v>
      </c>
      <c r="G145" t="s">
        <v>70</v>
      </c>
      <c r="J145" t="s">
        <v>12</v>
      </c>
      <c r="K145" t="s">
        <v>72</v>
      </c>
      <c r="L145" t="s">
        <v>74</v>
      </c>
      <c r="M145">
        <v>1</v>
      </c>
      <c r="N145"/>
      <c r="O145"/>
      <c r="P145" s="17">
        <f>Table11[[#This Row],[Gain/Loss]]</f>
        <v>10</v>
      </c>
      <c r="Q145" s="17">
        <f>IF(Table11[[#This Row],[Direction]]="L",0.5,IF(Table11[[#This Row],[Direction]]="M",1.5,2.5))</f>
        <v>0.5</v>
      </c>
      <c r="R145" s="17" t="str">
        <f>IF(Table11[[#This Row],[Direction]]="R","Right",IF(Table11[[#This Row],[Direction]]="L","Left","Middle"))</f>
        <v>Left</v>
      </c>
      <c r="S145" s="17">
        <f>IF(Table11[[#This Row],[Pass Zone]]="S",0.5,IF(Table11[[#This Row],[Pass Zone]]="M",1.5,2.5))</f>
        <v>2.5</v>
      </c>
      <c r="T145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45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145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03:  2nd &amp; 8+</v>
      </c>
      <c r="W145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0-20</v>
      </c>
      <c r="Y145"/>
    </row>
    <row r="146" spans="1:25" x14ac:dyDescent="0.25">
      <c r="A146">
        <v>120</v>
      </c>
      <c r="B146">
        <v>1</v>
      </c>
      <c r="C146">
        <v>1</v>
      </c>
      <c r="D146">
        <v>10</v>
      </c>
      <c r="E146">
        <v>-30</v>
      </c>
      <c r="F146">
        <v>1</v>
      </c>
      <c r="G146" t="s">
        <v>72</v>
      </c>
      <c r="J146" t="s">
        <v>12</v>
      </c>
      <c r="K146" t="s">
        <v>72</v>
      </c>
      <c r="L146" t="s">
        <v>74</v>
      </c>
      <c r="M146">
        <v>1</v>
      </c>
      <c r="N146"/>
      <c r="O146"/>
      <c r="P146" s="17">
        <f>Table11[[#This Row],[Gain/Loss]]</f>
        <v>1</v>
      </c>
      <c r="Q146" s="17">
        <f>IF(Table11[[#This Row],[Direction]]="L",0.5,IF(Table11[[#This Row],[Direction]]="M",1.5,2.5))</f>
        <v>0.5</v>
      </c>
      <c r="R146" s="17" t="str">
        <f>IF(Table11[[#This Row],[Direction]]="R","Right",IF(Table11[[#This Row],[Direction]]="L","Left","Middle"))</f>
        <v>Left</v>
      </c>
      <c r="S146" s="17">
        <f>IF(Table11[[#This Row],[Pass Zone]]="S",0.5,IF(Table11[[#This Row],[Pass Zone]]="M",1.5,2.5))</f>
        <v>2.5</v>
      </c>
      <c r="T146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46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146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146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  <c r="Y146"/>
    </row>
    <row r="147" spans="1:25" x14ac:dyDescent="0.25">
      <c r="A147">
        <v>121</v>
      </c>
      <c r="B147">
        <v>2</v>
      </c>
      <c r="C147">
        <v>2</v>
      </c>
      <c r="D147">
        <v>9</v>
      </c>
      <c r="E147">
        <v>-31</v>
      </c>
      <c r="F147">
        <v>2</v>
      </c>
      <c r="G147" t="s">
        <v>72</v>
      </c>
      <c r="J147" t="s">
        <v>12</v>
      </c>
      <c r="K147" t="s">
        <v>72</v>
      </c>
      <c r="L147" t="s">
        <v>74</v>
      </c>
      <c r="M147">
        <v>1</v>
      </c>
      <c r="N147"/>
      <c r="O147"/>
      <c r="P147" s="17">
        <f>Table11[[#This Row],[Gain/Loss]]</f>
        <v>2</v>
      </c>
      <c r="Q147" s="17">
        <f>IF(Table11[[#This Row],[Direction]]="L",0.5,IF(Table11[[#This Row],[Direction]]="M",1.5,2.5))</f>
        <v>0.5</v>
      </c>
      <c r="R147" s="17" t="str">
        <f>IF(Table11[[#This Row],[Direction]]="R","Right",IF(Table11[[#This Row],[Direction]]="L","Left","Middle"))</f>
        <v>Left</v>
      </c>
      <c r="S147" s="17">
        <f>IF(Table11[[#This Row],[Pass Zone]]="S",0.5,IF(Table11[[#This Row],[Pass Zone]]="M",1.5,2.5))</f>
        <v>2.5</v>
      </c>
      <c r="T147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47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147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03:  2nd &amp; 8+</v>
      </c>
      <c r="W147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  <c r="Y147"/>
    </row>
    <row r="148" spans="1:25" x14ac:dyDescent="0.25">
      <c r="A148">
        <v>122</v>
      </c>
      <c r="B148">
        <v>3</v>
      </c>
      <c r="C148">
        <v>3</v>
      </c>
      <c r="D148">
        <v>7</v>
      </c>
      <c r="E148">
        <v>-33</v>
      </c>
      <c r="F148">
        <v>4</v>
      </c>
      <c r="G148" t="s">
        <v>72</v>
      </c>
      <c r="J148" t="s">
        <v>12</v>
      </c>
      <c r="K148" t="s">
        <v>66</v>
      </c>
      <c r="L148" t="s">
        <v>74</v>
      </c>
      <c r="M148">
        <v>1</v>
      </c>
      <c r="N148"/>
      <c r="O148"/>
      <c r="P148" s="17">
        <f>Table11[[#This Row],[Gain/Loss]]</f>
        <v>4</v>
      </c>
      <c r="Q148" s="17">
        <f>IF(Table11[[#This Row],[Direction]]="L",0.5,IF(Table11[[#This Row],[Direction]]="M",1.5,2.5))</f>
        <v>2.5</v>
      </c>
      <c r="R148" s="17" t="str">
        <f>IF(Table11[[#This Row],[Direction]]="R","Right",IF(Table11[[#This Row],[Direction]]="L","Left","Middle"))</f>
        <v>Right</v>
      </c>
      <c r="S148" s="17">
        <f>IF(Table11[[#This Row],[Pass Zone]]="S",0.5,IF(Table11[[#This Row],[Pass Zone]]="M",1.5,2.5))</f>
        <v>2.5</v>
      </c>
      <c r="T148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48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148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07:  3rd &amp; 4 - 7</v>
      </c>
      <c r="W148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  <c r="Y148"/>
    </row>
    <row r="149" spans="1:25" x14ac:dyDescent="0.25">
      <c r="A149">
        <v>137</v>
      </c>
      <c r="B149">
        <v>1</v>
      </c>
      <c r="C149">
        <v>1</v>
      </c>
      <c r="D149">
        <v>10</v>
      </c>
      <c r="E149">
        <v>-34</v>
      </c>
      <c r="F149">
        <v>4</v>
      </c>
      <c r="G149" t="s">
        <v>72</v>
      </c>
      <c r="J149" t="s">
        <v>12</v>
      </c>
      <c r="K149" t="s">
        <v>66</v>
      </c>
      <c r="L149" t="s">
        <v>74</v>
      </c>
      <c r="M149">
        <v>1</v>
      </c>
      <c r="N149"/>
      <c r="O149"/>
      <c r="P149" s="17">
        <f>Table11[[#This Row],[Gain/Loss]]</f>
        <v>4</v>
      </c>
      <c r="Q149" s="17">
        <f>IF(Table11[[#This Row],[Direction]]="L",0.5,IF(Table11[[#This Row],[Direction]]="M",1.5,2.5))</f>
        <v>2.5</v>
      </c>
      <c r="R149" s="17" t="str">
        <f>IF(Table11[[#This Row],[Direction]]="R","Right",IF(Table11[[#This Row],[Direction]]="L","Left","Middle"))</f>
        <v>Right</v>
      </c>
      <c r="S149" s="17">
        <f>IF(Table11[[#This Row],[Pass Zone]]="S",0.5,IF(Table11[[#This Row],[Pass Zone]]="M",1.5,2.5))</f>
        <v>2.5</v>
      </c>
      <c r="T149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49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149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149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  <c r="Y149"/>
    </row>
    <row r="150" spans="1:25" x14ac:dyDescent="0.25">
      <c r="A150">
        <v>140</v>
      </c>
      <c r="B150">
        <v>2</v>
      </c>
      <c r="C150">
        <v>2</v>
      </c>
      <c r="D150">
        <v>6</v>
      </c>
      <c r="E150">
        <v>-38</v>
      </c>
      <c r="F150">
        <v>5</v>
      </c>
      <c r="G150" t="s">
        <v>70</v>
      </c>
      <c r="J150" t="s">
        <v>12</v>
      </c>
      <c r="K150" t="s">
        <v>66</v>
      </c>
      <c r="L150" t="s">
        <v>74</v>
      </c>
      <c r="M150">
        <v>1</v>
      </c>
      <c r="N150"/>
      <c r="O150"/>
      <c r="P150" s="17">
        <f>Table11[[#This Row],[Gain/Loss]]</f>
        <v>5</v>
      </c>
      <c r="Q150" s="17">
        <f>IF(Table11[[#This Row],[Direction]]="L",0.5,IF(Table11[[#This Row],[Direction]]="M",1.5,2.5))</f>
        <v>2.5</v>
      </c>
      <c r="R150" s="17" t="str">
        <f>IF(Table11[[#This Row],[Direction]]="R","Right",IF(Table11[[#This Row],[Direction]]="L","Left","Middle"))</f>
        <v>Right</v>
      </c>
      <c r="S150" s="17">
        <f>IF(Table11[[#This Row],[Pass Zone]]="S",0.5,IF(Table11[[#This Row],[Pass Zone]]="M",1.5,2.5))</f>
        <v>2.5</v>
      </c>
      <c r="T150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50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150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04:  2nd &amp; 4 - 7</v>
      </c>
      <c r="W150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  <c r="Y150"/>
    </row>
    <row r="151" spans="1:25" x14ac:dyDescent="0.25">
      <c r="A151">
        <v>141</v>
      </c>
      <c r="B151">
        <v>3</v>
      </c>
      <c r="C151">
        <v>3</v>
      </c>
      <c r="D151">
        <v>1</v>
      </c>
      <c r="E151">
        <v>-43</v>
      </c>
      <c r="F151">
        <v>0</v>
      </c>
      <c r="G151" t="s">
        <v>72</v>
      </c>
      <c r="J151" t="s">
        <v>12</v>
      </c>
      <c r="K151" t="s">
        <v>66</v>
      </c>
      <c r="L151" t="s">
        <v>74</v>
      </c>
      <c r="M151">
        <v>1</v>
      </c>
      <c r="N151"/>
      <c r="O151"/>
      <c r="P151" s="17">
        <f>Table11[[#This Row],[Gain/Loss]]</f>
        <v>0</v>
      </c>
      <c r="Q151" s="17">
        <f>IF(Table11[[#This Row],[Direction]]="L",0.5,IF(Table11[[#This Row],[Direction]]="M",1.5,2.5))</f>
        <v>2.5</v>
      </c>
      <c r="R151" s="17" t="str">
        <f>IF(Table11[[#This Row],[Direction]]="R","Right",IF(Table11[[#This Row],[Direction]]="L","Left","Middle"))</f>
        <v>Right</v>
      </c>
      <c r="S151" s="17">
        <f>IF(Table11[[#This Row],[Pass Zone]]="S",0.5,IF(Table11[[#This Row],[Pass Zone]]="M",1.5,2.5))</f>
        <v>2.5</v>
      </c>
      <c r="T151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51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151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08:  3rd &amp; &lt; 4</v>
      </c>
      <c r="W151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  <c r="Y151"/>
    </row>
    <row r="152" spans="1:25" x14ac:dyDescent="0.25">
      <c r="A152">
        <v>150</v>
      </c>
      <c r="B152">
        <v>1</v>
      </c>
      <c r="C152">
        <v>1</v>
      </c>
      <c r="D152">
        <v>10</v>
      </c>
      <c r="E152">
        <v>-32</v>
      </c>
      <c r="F152">
        <v>6</v>
      </c>
      <c r="G152" t="s">
        <v>72</v>
      </c>
      <c r="J152" t="s">
        <v>12</v>
      </c>
      <c r="K152" t="s">
        <v>72</v>
      </c>
      <c r="L152" t="s">
        <v>74</v>
      </c>
      <c r="M152">
        <v>1</v>
      </c>
      <c r="N152"/>
      <c r="O152"/>
      <c r="P152" s="17">
        <f>Table11[[#This Row],[Gain/Loss]]</f>
        <v>6</v>
      </c>
      <c r="Q152" s="17">
        <f>IF(Table11[[#This Row],[Direction]]="L",0.5,IF(Table11[[#This Row],[Direction]]="M",1.5,2.5))</f>
        <v>0.5</v>
      </c>
      <c r="R152" s="17" t="str">
        <f>IF(Table11[[#This Row],[Direction]]="R","Right",IF(Table11[[#This Row],[Direction]]="L","Left","Middle"))</f>
        <v>Left</v>
      </c>
      <c r="S152" s="17">
        <f>IF(Table11[[#This Row],[Pass Zone]]="S",0.5,IF(Table11[[#This Row],[Pass Zone]]="M",1.5,2.5))</f>
        <v>2.5</v>
      </c>
      <c r="T152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52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152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152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  <c r="Y152"/>
    </row>
    <row r="153" spans="1:25" x14ac:dyDescent="0.25">
      <c r="A153">
        <v>151</v>
      </c>
      <c r="B153">
        <v>2</v>
      </c>
      <c r="C153">
        <v>2</v>
      </c>
      <c r="D153">
        <v>4</v>
      </c>
      <c r="E153">
        <v>-38</v>
      </c>
      <c r="F153">
        <v>1</v>
      </c>
      <c r="G153" t="s">
        <v>72</v>
      </c>
      <c r="J153" t="s">
        <v>12</v>
      </c>
      <c r="K153" t="s">
        <v>72</v>
      </c>
      <c r="L153" t="s">
        <v>74</v>
      </c>
      <c r="M153">
        <v>1</v>
      </c>
      <c r="N153"/>
      <c r="O153"/>
      <c r="P153" s="17">
        <f>Table11[[#This Row],[Gain/Loss]]</f>
        <v>1</v>
      </c>
      <c r="Q153" s="17">
        <f>IF(Table11[[#This Row],[Direction]]="L",0.5,IF(Table11[[#This Row],[Direction]]="M",1.5,2.5))</f>
        <v>0.5</v>
      </c>
      <c r="R153" s="17" t="str">
        <f>IF(Table11[[#This Row],[Direction]]="R","Right",IF(Table11[[#This Row],[Direction]]="L","Left","Middle"))</f>
        <v>Left</v>
      </c>
      <c r="S153" s="17">
        <f>IF(Table11[[#This Row],[Pass Zone]]="S",0.5,IF(Table11[[#This Row],[Pass Zone]]="M",1.5,2.5))</f>
        <v>2.5</v>
      </c>
      <c r="T153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53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153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04:  2nd &amp; 4 - 7</v>
      </c>
      <c r="W153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  <c r="Y153"/>
    </row>
    <row r="154" spans="1:25" x14ac:dyDescent="0.25">
      <c r="A154">
        <v>152</v>
      </c>
      <c r="B154">
        <v>3</v>
      </c>
      <c r="C154">
        <v>3</v>
      </c>
      <c r="D154">
        <v>3</v>
      </c>
      <c r="E154">
        <v>-39</v>
      </c>
      <c r="F154">
        <v>7</v>
      </c>
      <c r="G154" t="s">
        <v>72</v>
      </c>
      <c r="J154" t="s">
        <v>12</v>
      </c>
      <c r="K154" t="s">
        <v>66</v>
      </c>
      <c r="L154" t="s">
        <v>74</v>
      </c>
      <c r="M154">
        <v>1</v>
      </c>
      <c r="N154"/>
      <c r="O154"/>
      <c r="P154" s="17">
        <f>Table11[[#This Row],[Gain/Loss]]</f>
        <v>7</v>
      </c>
      <c r="Q154" s="17">
        <f>IF(Table11[[#This Row],[Direction]]="L",0.5,IF(Table11[[#This Row],[Direction]]="M",1.5,2.5))</f>
        <v>2.5</v>
      </c>
      <c r="R154" s="17" t="str">
        <f>IF(Table11[[#This Row],[Direction]]="R","Right",IF(Table11[[#This Row],[Direction]]="L","Left","Middle"))</f>
        <v>Right</v>
      </c>
      <c r="S154" s="17">
        <f>IF(Table11[[#This Row],[Pass Zone]]="S",0.5,IF(Table11[[#This Row],[Pass Zone]]="M",1.5,2.5))</f>
        <v>2.5</v>
      </c>
      <c r="T154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54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154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08:  3rd &amp; &lt; 4</v>
      </c>
      <c r="W154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  <c r="Y154"/>
    </row>
    <row r="155" spans="1:25" x14ac:dyDescent="0.25">
      <c r="A155">
        <v>153</v>
      </c>
      <c r="B155">
        <v>1</v>
      </c>
      <c r="C155">
        <v>1</v>
      </c>
      <c r="D155">
        <v>10</v>
      </c>
      <c r="E155">
        <v>-46</v>
      </c>
      <c r="F155">
        <v>3</v>
      </c>
      <c r="G155" t="s">
        <v>70</v>
      </c>
      <c r="J155" t="s">
        <v>12</v>
      </c>
      <c r="K155" t="s">
        <v>66</v>
      </c>
      <c r="L155" t="s">
        <v>74</v>
      </c>
      <c r="M155">
        <v>1</v>
      </c>
      <c r="N155"/>
      <c r="O155"/>
      <c r="P155" s="17">
        <f>Table11[[#This Row],[Gain/Loss]]</f>
        <v>3</v>
      </c>
      <c r="Q155" s="17">
        <f>IF(Table11[[#This Row],[Direction]]="L",0.5,IF(Table11[[#This Row],[Direction]]="M",1.5,2.5))</f>
        <v>2.5</v>
      </c>
      <c r="R155" s="17" t="str">
        <f>IF(Table11[[#This Row],[Direction]]="R","Right",IF(Table11[[#This Row],[Direction]]="L","Left","Middle"))</f>
        <v>Right</v>
      </c>
      <c r="S155" s="17">
        <f>IF(Table11[[#This Row],[Pass Zone]]="S",0.5,IF(Table11[[#This Row],[Pass Zone]]="M",1.5,2.5))</f>
        <v>2.5</v>
      </c>
      <c r="T155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55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155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155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  <c r="Y155"/>
    </row>
    <row r="156" spans="1:25" x14ac:dyDescent="0.25">
      <c r="A156">
        <v>154</v>
      </c>
      <c r="B156">
        <v>2</v>
      </c>
      <c r="C156">
        <v>2</v>
      </c>
      <c r="D156">
        <v>7</v>
      </c>
      <c r="E156">
        <v>-49</v>
      </c>
      <c r="F156">
        <v>5</v>
      </c>
      <c r="G156" t="s">
        <v>70</v>
      </c>
      <c r="J156" t="s">
        <v>12</v>
      </c>
      <c r="K156" t="s">
        <v>72</v>
      </c>
      <c r="L156" t="s">
        <v>74</v>
      </c>
      <c r="M156">
        <v>1</v>
      </c>
      <c r="N156"/>
      <c r="O156"/>
      <c r="P156" s="17">
        <f>Table11[[#This Row],[Gain/Loss]]</f>
        <v>5</v>
      </c>
      <c r="Q156" s="17">
        <f>IF(Table11[[#This Row],[Direction]]="L",0.5,IF(Table11[[#This Row],[Direction]]="M",1.5,2.5))</f>
        <v>0.5</v>
      </c>
      <c r="R156" s="17" t="str">
        <f>IF(Table11[[#This Row],[Direction]]="R","Right",IF(Table11[[#This Row],[Direction]]="L","Left","Middle"))</f>
        <v>Left</v>
      </c>
      <c r="S156" s="17">
        <f>IF(Table11[[#This Row],[Pass Zone]]="S",0.5,IF(Table11[[#This Row],[Pass Zone]]="M",1.5,2.5))</f>
        <v>2.5</v>
      </c>
      <c r="T156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56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156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04:  2nd &amp; 4 - 7</v>
      </c>
      <c r="W156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  <c r="Y156"/>
    </row>
    <row r="157" spans="1:25" x14ac:dyDescent="0.25">
      <c r="A157">
        <v>155</v>
      </c>
      <c r="B157">
        <v>3</v>
      </c>
      <c r="C157">
        <v>3</v>
      </c>
      <c r="D157">
        <v>2</v>
      </c>
      <c r="E157">
        <v>46</v>
      </c>
      <c r="F157">
        <v>0</v>
      </c>
      <c r="G157" t="s">
        <v>72</v>
      </c>
      <c r="J157" t="s">
        <v>12</v>
      </c>
      <c r="K157" t="s">
        <v>72</v>
      </c>
      <c r="L157" t="s">
        <v>74</v>
      </c>
      <c r="M157">
        <v>1</v>
      </c>
      <c r="N157"/>
      <c r="O157"/>
      <c r="P157" s="17">
        <f>Table11[[#This Row],[Gain/Loss]]</f>
        <v>0</v>
      </c>
      <c r="Q157" s="17">
        <f>IF(Table11[[#This Row],[Direction]]="L",0.5,IF(Table11[[#This Row],[Direction]]="M",1.5,2.5))</f>
        <v>0.5</v>
      </c>
      <c r="R157" s="17" t="str">
        <f>IF(Table11[[#This Row],[Direction]]="R","Right",IF(Table11[[#This Row],[Direction]]="L","Left","Middle"))</f>
        <v>Left</v>
      </c>
      <c r="S157" s="17">
        <f>IF(Table11[[#This Row],[Pass Zone]]="S",0.5,IF(Table11[[#This Row],[Pass Zone]]="M",1.5,2.5))</f>
        <v>2.5</v>
      </c>
      <c r="T157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57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157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08:  3rd &amp; &lt; 4</v>
      </c>
      <c r="W157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  <c r="Y157"/>
    </row>
    <row r="158" spans="1:25" x14ac:dyDescent="0.25">
      <c r="A158">
        <v>2</v>
      </c>
      <c r="B158">
        <v>1</v>
      </c>
      <c r="C158">
        <v>1</v>
      </c>
      <c r="D158">
        <v>10</v>
      </c>
      <c r="E158">
        <v>-35</v>
      </c>
      <c r="F158">
        <v>14</v>
      </c>
      <c r="G158" t="s">
        <v>66</v>
      </c>
      <c r="J158" t="s">
        <v>12</v>
      </c>
      <c r="K158" t="s">
        <v>72</v>
      </c>
      <c r="L158" t="s">
        <v>74</v>
      </c>
      <c r="M158">
        <v>1</v>
      </c>
      <c r="N158"/>
      <c r="O158"/>
      <c r="P158" s="17">
        <f>Table11[[#This Row],[Gain/Loss]]</f>
        <v>14</v>
      </c>
      <c r="Q158" s="17">
        <f>IF(Table11[[#This Row],[Direction]]="L",0.5,IF(Table11[[#This Row],[Direction]]="M",1.5,2.5))</f>
        <v>0.5</v>
      </c>
      <c r="R158" s="17" t="str">
        <f>IF(Table11[[#This Row],[Direction]]="R","Right",IF(Table11[[#This Row],[Direction]]="L","Left","Middle"))</f>
        <v>Left</v>
      </c>
      <c r="S158" s="17">
        <f>IF(Table11[[#This Row],[Pass Zone]]="S",0.5,IF(Table11[[#This Row],[Pass Zone]]="M",1.5,2.5))</f>
        <v>2.5</v>
      </c>
      <c r="T158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58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158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158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  <c r="Y158"/>
    </row>
    <row r="159" spans="1:25" x14ac:dyDescent="0.25">
      <c r="A159">
        <v>3</v>
      </c>
      <c r="B159">
        <v>1</v>
      </c>
      <c r="C159">
        <v>1</v>
      </c>
      <c r="D159">
        <v>10</v>
      </c>
      <c r="E159">
        <v>-49</v>
      </c>
      <c r="F159">
        <v>4</v>
      </c>
      <c r="G159" t="s">
        <v>72</v>
      </c>
      <c r="J159" t="s">
        <v>12</v>
      </c>
      <c r="K159" t="s">
        <v>72</v>
      </c>
      <c r="L159" t="s">
        <v>74</v>
      </c>
      <c r="M159">
        <v>1</v>
      </c>
      <c r="N159"/>
      <c r="O159"/>
      <c r="P159" s="17">
        <f>Table11[[#This Row],[Gain/Loss]]</f>
        <v>4</v>
      </c>
      <c r="Q159" s="17">
        <f>IF(Table11[[#This Row],[Direction]]="L",0.5,IF(Table11[[#This Row],[Direction]]="M",1.5,2.5))</f>
        <v>0.5</v>
      </c>
      <c r="R159" s="17" t="str">
        <f>IF(Table11[[#This Row],[Direction]]="R","Right",IF(Table11[[#This Row],[Direction]]="L","Left","Middle"))</f>
        <v>Left</v>
      </c>
      <c r="S159" s="17">
        <f>IF(Table11[[#This Row],[Pass Zone]]="S",0.5,IF(Table11[[#This Row],[Pass Zone]]="M",1.5,2.5))</f>
        <v>2.5</v>
      </c>
      <c r="T159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59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159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159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  <c r="Y159"/>
    </row>
    <row r="160" spans="1:25" x14ac:dyDescent="0.25">
      <c r="A160">
        <v>4</v>
      </c>
      <c r="B160">
        <v>2</v>
      </c>
      <c r="C160">
        <v>2</v>
      </c>
      <c r="D160">
        <v>6</v>
      </c>
      <c r="E160">
        <v>47</v>
      </c>
      <c r="F160">
        <v>3</v>
      </c>
      <c r="G160" t="s">
        <v>72</v>
      </c>
      <c r="J160" t="s">
        <v>12</v>
      </c>
      <c r="K160" t="s">
        <v>66</v>
      </c>
      <c r="L160" t="s">
        <v>74</v>
      </c>
      <c r="M160">
        <v>1</v>
      </c>
      <c r="N160"/>
      <c r="O160"/>
      <c r="P160" s="17">
        <f>Table11[[#This Row],[Gain/Loss]]</f>
        <v>3</v>
      </c>
      <c r="Q160" s="17">
        <f>IF(Table11[[#This Row],[Direction]]="L",0.5,IF(Table11[[#This Row],[Direction]]="M",1.5,2.5))</f>
        <v>2.5</v>
      </c>
      <c r="R160" s="17" t="str">
        <f>IF(Table11[[#This Row],[Direction]]="R","Right",IF(Table11[[#This Row],[Direction]]="L","Left","Middle"))</f>
        <v>Right</v>
      </c>
      <c r="S160" s="17">
        <f>IF(Table11[[#This Row],[Pass Zone]]="S",0.5,IF(Table11[[#This Row],[Pass Zone]]="M",1.5,2.5))</f>
        <v>2.5</v>
      </c>
      <c r="T160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60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160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04:  2nd &amp; 4 - 7</v>
      </c>
      <c r="W160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  <c r="Y160"/>
    </row>
    <row r="161" spans="1:25" x14ac:dyDescent="0.25">
      <c r="A161">
        <v>5</v>
      </c>
      <c r="B161">
        <v>3</v>
      </c>
      <c r="C161">
        <v>3</v>
      </c>
      <c r="D161">
        <v>3</v>
      </c>
      <c r="E161">
        <v>44</v>
      </c>
      <c r="F161">
        <v>5</v>
      </c>
      <c r="G161" t="s">
        <v>66</v>
      </c>
      <c r="J161" t="s">
        <v>12</v>
      </c>
      <c r="K161" t="s">
        <v>66</v>
      </c>
      <c r="L161" t="s">
        <v>74</v>
      </c>
      <c r="M161">
        <v>1</v>
      </c>
      <c r="N161"/>
      <c r="O161"/>
      <c r="P161" s="17">
        <f>Table11[[#This Row],[Gain/Loss]]</f>
        <v>5</v>
      </c>
      <c r="Q161" s="17">
        <f>IF(Table11[[#This Row],[Direction]]="L",0.5,IF(Table11[[#This Row],[Direction]]="M",1.5,2.5))</f>
        <v>2.5</v>
      </c>
      <c r="R161" s="17" t="str">
        <f>IF(Table11[[#This Row],[Direction]]="R","Right",IF(Table11[[#This Row],[Direction]]="L","Left","Middle"))</f>
        <v>Right</v>
      </c>
      <c r="S161" s="17">
        <f>IF(Table11[[#This Row],[Pass Zone]]="S",0.5,IF(Table11[[#This Row],[Pass Zone]]="M",1.5,2.5))</f>
        <v>2.5</v>
      </c>
      <c r="T161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61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161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08:  3rd &amp; &lt; 4</v>
      </c>
      <c r="W161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  <c r="Y161"/>
    </row>
    <row r="162" spans="1:25" x14ac:dyDescent="0.25">
      <c r="A162">
        <v>7</v>
      </c>
      <c r="B162">
        <v>1</v>
      </c>
      <c r="C162">
        <v>1</v>
      </c>
      <c r="D162">
        <v>15</v>
      </c>
      <c r="E162">
        <v>44</v>
      </c>
      <c r="F162">
        <v>23</v>
      </c>
      <c r="G162" t="s">
        <v>66</v>
      </c>
      <c r="J162" t="s">
        <v>13</v>
      </c>
      <c r="K162" t="s">
        <v>72</v>
      </c>
      <c r="L162"/>
      <c r="M162">
        <v>1</v>
      </c>
      <c r="N162">
        <v>1</v>
      </c>
      <c r="O162" t="s">
        <v>71</v>
      </c>
      <c r="P162" s="17">
        <f>Table11[[#This Row],[Gain/Loss]]</f>
        <v>23</v>
      </c>
      <c r="Q162" s="17">
        <f>IF(Table11[[#This Row],[Direction]]="L",0.5,IF(Table11[[#This Row],[Direction]]="M",1.5,2.5))</f>
        <v>0.5</v>
      </c>
      <c r="R162" s="17" t="str">
        <f>IF(Table11[[#This Row],[Direction]]="R","Right",IF(Table11[[#This Row],[Direction]]="L","Left","Middle"))</f>
        <v>Left</v>
      </c>
      <c r="S162" s="17">
        <f>IF(Table11[[#This Row],[Pass Zone]]="S",0.5,IF(Table11[[#This Row],[Pass Zone]]="M",1.5,2.5))</f>
        <v>2.5</v>
      </c>
      <c r="T162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62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162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162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  <c r="Y162"/>
    </row>
    <row r="163" spans="1:25" x14ac:dyDescent="0.25">
      <c r="A163">
        <v>8</v>
      </c>
      <c r="B163">
        <v>1</v>
      </c>
      <c r="C163">
        <v>1</v>
      </c>
      <c r="D163">
        <v>10</v>
      </c>
      <c r="E163">
        <v>21</v>
      </c>
      <c r="F163">
        <v>0</v>
      </c>
      <c r="G163" t="s">
        <v>72</v>
      </c>
      <c r="J163" t="s">
        <v>13</v>
      </c>
      <c r="K163" t="s">
        <v>66</v>
      </c>
      <c r="L163"/>
      <c r="M163">
        <v>1</v>
      </c>
      <c r="N163">
        <v>0</v>
      </c>
      <c r="O163"/>
      <c r="P163" s="17">
        <f>Table11[[#This Row],[Gain/Loss]]</f>
        <v>0</v>
      </c>
      <c r="Q163" s="17">
        <f>IF(Table11[[#This Row],[Direction]]="L",0.5,IF(Table11[[#This Row],[Direction]]="M",1.5,2.5))</f>
        <v>2.5</v>
      </c>
      <c r="R163" s="17" t="str">
        <f>IF(Table11[[#This Row],[Direction]]="R","Right",IF(Table11[[#This Row],[Direction]]="L","Left","Middle"))</f>
        <v>Right</v>
      </c>
      <c r="S163" s="17">
        <f>IF(Table11[[#This Row],[Pass Zone]]="S",0.5,IF(Table11[[#This Row],[Pass Zone]]="M",1.5,2.5))</f>
        <v>2.5</v>
      </c>
      <c r="T163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63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163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163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  <c r="Y163"/>
    </row>
    <row r="164" spans="1:25" x14ac:dyDescent="0.25">
      <c r="A164">
        <v>9</v>
      </c>
      <c r="B164">
        <v>2</v>
      </c>
      <c r="C164">
        <v>2</v>
      </c>
      <c r="D164">
        <v>10</v>
      </c>
      <c r="E164">
        <v>21</v>
      </c>
      <c r="F164">
        <v>1</v>
      </c>
      <c r="G164" t="s">
        <v>72</v>
      </c>
      <c r="J164" t="s">
        <v>12</v>
      </c>
      <c r="K164" t="s">
        <v>66</v>
      </c>
      <c r="L164" t="s">
        <v>74</v>
      </c>
      <c r="M164">
        <v>1</v>
      </c>
      <c r="N164"/>
      <c r="O164"/>
      <c r="P164" s="17">
        <f>Table11[[#This Row],[Gain/Loss]]</f>
        <v>1</v>
      </c>
      <c r="Q164" s="17">
        <f>IF(Table11[[#This Row],[Direction]]="L",0.5,IF(Table11[[#This Row],[Direction]]="M",1.5,2.5))</f>
        <v>2.5</v>
      </c>
      <c r="R164" s="17" t="str">
        <f>IF(Table11[[#This Row],[Direction]]="R","Right",IF(Table11[[#This Row],[Direction]]="L","Left","Middle"))</f>
        <v>Right</v>
      </c>
      <c r="S164" s="17">
        <f>IF(Table11[[#This Row],[Pass Zone]]="S",0.5,IF(Table11[[#This Row],[Pass Zone]]="M",1.5,2.5))</f>
        <v>2.5</v>
      </c>
      <c r="T164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64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164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03:  2nd &amp; 8+</v>
      </c>
      <c r="W164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  <c r="Y164"/>
    </row>
    <row r="165" spans="1:25" x14ac:dyDescent="0.25">
      <c r="A165">
        <v>11</v>
      </c>
      <c r="B165">
        <v>4</v>
      </c>
      <c r="C165">
        <v>4</v>
      </c>
      <c r="D165">
        <v>4</v>
      </c>
      <c r="E165">
        <v>15</v>
      </c>
      <c r="F165">
        <v>4</v>
      </c>
      <c r="G165" t="s">
        <v>72</v>
      </c>
      <c r="J165" t="s">
        <v>12</v>
      </c>
      <c r="K165" t="s">
        <v>72</v>
      </c>
      <c r="L165" t="s">
        <v>74</v>
      </c>
      <c r="M165">
        <v>1</v>
      </c>
      <c r="N165"/>
      <c r="O165"/>
      <c r="P165" s="17">
        <f>Table11[[#This Row],[Gain/Loss]]</f>
        <v>4</v>
      </c>
      <c r="Q165" s="17">
        <f>IF(Table11[[#This Row],[Direction]]="L",0.5,IF(Table11[[#This Row],[Direction]]="M",1.5,2.5))</f>
        <v>0.5</v>
      </c>
      <c r="R165" s="17" t="str">
        <f>IF(Table11[[#This Row],[Direction]]="R","Right",IF(Table11[[#This Row],[Direction]]="L","Left","Middle"))</f>
        <v>Left</v>
      </c>
      <c r="S165" s="17">
        <f>IF(Table11[[#This Row],[Pass Zone]]="S",0.5,IF(Table11[[#This Row],[Pass Zone]]="M",1.5,2.5))</f>
        <v>2.5</v>
      </c>
      <c r="T165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65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165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09:  4th &amp; 2+</v>
      </c>
      <c r="W165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Red Zone</v>
      </c>
      <c r="Y165"/>
    </row>
    <row r="166" spans="1:25" x14ac:dyDescent="0.25">
      <c r="A166">
        <v>12</v>
      </c>
      <c r="B166">
        <v>1</v>
      </c>
      <c r="C166">
        <v>1</v>
      </c>
      <c r="D166">
        <v>10</v>
      </c>
      <c r="E166">
        <v>11</v>
      </c>
      <c r="F166">
        <v>1</v>
      </c>
      <c r="G166" t="s">
        <v>72</v>
      </c>
      <c r="J166" t="s">
        <v>12</v>
      </c>
      <c r="K166" t="s">
        <v>72</v>
      </c>
      <c r="L166" t="s">
        <v>74</v>
      </c>
      <c r="M166">
        <v>1</v>
      </c>
      <c r="N166"/>
      <c r="O166"/>
      <c r="P166" s="17">
        <f>Table11[[#This Row],[Gain/Loss]]</f>
        <v>1</v>
      </c>
      <c r="Q166" s="17">
        <f>IF(Table11[[#This Row],[Direction]]="L",0.5,IF(Table11[[#This Row],[Direction]]="M",1.5,2.5))</f>
        <v>0.5</v>
      </c>
      <c r="R166" s="17" t="str">
        <f>IF(Table11[[#This Row],[Direction]]="R","Right",IF(Table11[[#This Row],[Direction]]="L","Left","Middle"))</f>
        <v>Left</v>
      </c>
      <c r="S166" s="17">
        <f>IF(Table11[[#This Row],[Pass Zone]]="S",0.5,IF(Table11[[#This Row],[Pass Zone]]="M",1.5,2.5))</f>
        <v>2.5</v>
      </c>
      <c r="T166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66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166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166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Red Zone</v>
      </c>
      <c r="Y166"/>
    </row>
    <row r="167" spans="1:25" x14ac:dyDescent="0.25">
      <c r="A167">
        <v>13</v>
      </c>
      <c r="B167">
        <v>2</v>
      </c>
      <c r="C167">
        <v>2</v>
      </c>
      <c r="D167">
        <v>9</v>
      </c>
      <c r="E167">
        <v>10</v>
      </c>
      <c r="F167">
        <v>0</v>
      </c>
      <c r="G167" t="s">
        <v>72</v>
      </c>
      <c r="J167" t="s">
        <v>13</v>
      </c>
      <c r="K167" t="s">
        <v>66</v>
      </c>
      <c r="L167"/>
      <c r="M167">
        <v>1</v>
      </c>
      <c r="N167">
        <v>0</v>
      </c>
      <c r="O167"/>
      <c r="P167" s="17">
        <f>Table11[[#This Row],[Gain/Loss]]</f>
        <v>0</v>
      </c>
      <c r="Q167" s="17">
        <f>IF(Table11[[#This Row],[Direction]]="L",0.5,IF(Table11[[#This Row],[Direction]]="M",1.5,2.5))</f>
        <v>2.5</v>
      </c>
      <c r="R167" s="17" t="str">
        <f>IF(Table11[[#This Row],[Direction]]="R","Right",IF(Table11[[#This Row],[Direction]]="L","Left","Middle"))</f>
        <v>Right</v>
      </c>
      <c r="S167" s="17">
        <f>IF(Table11[[#This Row],[Pass Zone]]="S",0.5,IF(Table11[[#This Row],[Pass Zone]]="M",1.5,2.5))</f>
        <v>2.5</v>
      </c>
      <c r="T167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67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167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03:  2nd &amp; 8+</v>
      </c>
      <c r="W167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Red Zone</v>
      </c>
      <c r="Y167"/>
    </row>
    <row r="168" spans="1:25" x14ac:dyDescent="0.25">
      <c r="A168">
        <v>14</v>
      </c>
      <c r="B168">
        <v>3</v>
      </c>
      <c r="C168">
        <v>3</v>
      </c>
      <c r="D168">
        <v>9</v>
      </c>
      <c r="E168">
        <v>10</v>
      </c>
      <c r="F168">
        <v>2</v>
      </c>
      <c r="G168" t="s">
        <v>72</v>
      </c>
      <c r="J168" t="s">
        <v>12</v>
      </c>
      <c r="K168" t="s">
        <v>66</v>
      </c>
      <c r="L168" t="s">
        <v>74</v>
      </c>
      <c r="M168">
        <v>1</v>
      </c>
      <c r="N168"/>
      <c r="O168"/>
      <c r="P168" s="17">
        <f>Table11[[#This Row],[Gain/Loss]]</f>
        <v>2</v>
      </c>
      <c r="Q168" s="17">
        <f>IF(Table11[[#This Row],[Direction]]="L",0.5,IF(Table11[[#This Row],[Direction]]="M",1.5,2.5))</f>
        <v>2.5</v>
      </c>
      <c r="R168" s="17" t="str">
        <f>IF(Table11[[#This Row],[Direction]]="R","Right",IF(Table11[[#This Row],[Direction]]="L","Left","Middle"))</f>
        <v>Right</v>
      </c>
      <c r="S168" s="17">
        <f>IF(Table11[[#This Row],[Pass Zone]]="S",0.5,IF(Table11[[#This Row],[Pass Zone]]="M",1.5,2.5))</f>
        <v>2.5</v>
      </c>
      <c r="T168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68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168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06:  3rd &amp; 8+</v>
      </c>
      <c r="W168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Red Zone</v>
      </c>
      <c r="Y168"/>
    </row>
    <row r="169" spans="1:25" x14ac:dyDescent="0.25">
      <c r="A169">
        <v>22</v>
      </c>
      <c r="B169">
        <v>1</v>
      </c>
      <c r="C169">
        <v>1</v>
      </c>
      <c r="D169">
        <v>10</v>
      </c>
      <c r="E169">
        <v>-45</v>
      </c>
      <c r="F169">
        <v>8</v>
      </c>
      <c r="G169" t="s">
        <v>72</v>
      </c>
      <c r="J169" t="s">
        <v>13</v>
      </c>
      <c r="K169" t="s">
        <v>66</v>
      </c>
      <c r="L169"/>
      <c r="M169">
        <v>1</v>
      </c>
      <c r="N169">
        <v>1</v>
      </c>
      <c r="O169" t="s">
        <v>70</v>
      </c>
      <c r="P169" s="17">
        <f>Table11[[#This Row],[Gain/Loss]]</f>
        <v>8</v>
      </c>
      <c r="Q169" s="17">
        <f>IF(Table11[[#This Row],[Direction]]="L",0.5,IF(Table11[[#This Row],[Direction]]="M",1.5,2.5))</f>
        <v>2.5</v>
      </c>
      <c r="R169" s="17" t="str">
        <f>IF(Table11[[#This Row],[Direction]]="R","Right",IF(Table11[[#This Row],[Direction]]="L","Left","Middle"))</f>
        <v>Right</v>
      </c>
      <c r="S169" s="17">
        <f>IF(Table11[[#This Row],[Pass Zone]]="S",0.5,IF(Table11[[#This Row],[Pass Zone]]="M",1.5,2.5))</f>
        <v>1.5</v>
      </c>
      <c r="T169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69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169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169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  <c r="Y169"/>
    </row>
    <row r="170" spans="1:25" x14ac:dyDescent="0.25">
      <c r="A170">
        <v>23</v>
      </c>
      <c r="B170">
        <v>2</v>
      </c>
      <c r="C170">
        <v>2</v>
      </c>
      <c r="D170">
        <v>2</v>
      </c>
      <c r="E170">
        <v>47</v>
      </c>
      <c r="F170">
        <v>4</v>
      </c>
      <c r="G170" t="s">
        <v>66</v>
      </c>
      <c r="J170" t="s">
        <v>12</v>
      </c>
      <c r="K170" t="s">
        <v>66</v>
      </c>
      <c r="L170" t="s">
        <v>74</v>
      </c>
      <c r="M170">
        <v>1</v>
      </c>
      <c r="N170"/>
      <c r="O170"/>
      <c r="P170" s="17">
        <f>Table11[[#This Row],[Gain/Loss]]</f>
        <v>4</v>
      </c>
      <c r="Q170" s="17">
        <f>IF(Table11[[#This Row],[Direction]]="L",0.5,IF(Table11[[#This Row],[Direction]]="M",1.5,2.5))</f>
        <v>2.5</v>
      </c>
      <c r="R170" s="17" t="str">
        <f>IF(Table11[[#This Row],[Direction]]="R","Right",IF(Table11[[#This Row],[Direction]]="L","Left","Middle"))</f>
        <v>Right</v>
      </c>
      <c r="S170" s="17">
        <f>IF(Table11[[#This Row],[Pass Zone]]="S",0.5,IF(Table11[[#This Row],[Pass Zone]]="M",1.5,2.5))</f>
        <v>2.5</v>
      </c>
      <c r="T170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70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170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05:  2nd &amp; &lt; 4</v>
      </c>
      <c r="W170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  <c r="Y170"/>
    </row>
    <row r="171" spans="1:25" x14ac:dyDescent="0.25">
      <c r="A171">
        <v>24</v>
      </c>
      <c r="B171">
        <v>1</v>
      </c>
      <c r="C171">
        <v>1</v>
      </c>
      <c r="D171">
        <v>10</v>
      </c>
      <c r="E171">
        <v>43</v>
      </c>
      <c r="F171">
        <v>3</v>
      </c>
      <c r="G171" t="s">
        <v>66</v>
      </c>
      <c r="J171" t="s">
        <v>12</v>
      </c>
      <c r="K171" t="s">
        <v>66</v>
      </c>
      <c r="L171" t="s">
        <v>74</v>
      </c>
      <c r="M171">
        <v>1</v>
      </c>
      <c r="N171"/>
      <c r="O171"/>
      <c r="P171" s="17">
        <f>Table11[[#This Row],[Gain/Loss]]</f>
        <v>3</v>
      </c>
      <c r="Q171" s="17">
        <f>IF(Table11[[#This Row],[Direction]]="L",0.5,IF(Table11[[#This Row],[Direction]]="M",1.5,2.5))</f>
        <v>2.5</v>
      </c>
      <c r="R171" s="17" t="str">
        <f>IF(Table11[[#This Row],[Direction]]="R","Right",IF(Table11[[#This Row],[Direction]]="L","Left","Middle"))</f>
        <v>Right</v>
      </c>
      <c r="S171" s="17">
        <f>IF(Table11[[#This Row],[Pass Zone]]="S",0.5,IF(Table11[[#This Row],[Pass Zone]]="M",1.5,2.5))</f>
        <v>2.5</v>
      </c>
      <c r="T171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71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171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171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  <c r="Y171"/>
    </row>
    <row r="172" spans="1:25" x14ac:dyDescent="0.25">
      <c r="A172">
        <v>25</v>
      </c>
      <c r="B172">
        <v>2</v>
      </c>
      <c r="C172">
        <v>2</v>
      </c>
      <c r="D172">
        <v>7</v>
      </c>
      <c r="E172">
        <v>40</v>
      </c>
      <c r="F172">
        <v>1</v>
      </c>
      <c r="G172" t="s">
        <v>66</v>
      </c>
      <c r="J172" t="s">
        <v>12</v>
      </c>
      <c r="K172" t="s">
        <v>72</v>
      </c>
      <c r="L172" t="s">
        <v>74</v>
      </c>
      <c r="M172">
        <v>1</v>
      </c>
      <c r="N172"/>
      <c r="O172"/>
      <c r="P172" s="17">
        <f>Table11[[#This Row],[Gain/Loss]]</f>
        <v>1</v>
      </c>
      <c r="Q172" s="17">
        <f>IF(Table11[[#This Row],[Direction]]="L",0.5,IF(Table11[[#This Row],[Direction]]="M",1.5,2.5))</f>
        <v>0.5</v>
      </c>
      <c r="R172" s="17" t="str">
        <f>IF(Table11[[#This Row],[Direction]]="R","Right",IF(Table11[[#This Row],[Direction]]="L","Left","Middle"))</f>
        <v>Left</v>
      </c>
      <c r="S172" s="17">
        <f>IF(Table11[[#This Row],[Pass Zone]]="S",0.5,IF(Table11[[#This Row],[Pass Zone]]="M",1.5,2.5))</f>
        <v>2.5</v>
      </c>
      <c r="T172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72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172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04:  2nd &amp; 4 - 7</v>
      </c>
      <c r="W172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  <c r="Y172"/>
    </row>
    <row r="173" spans="1:25" x14ac:dyDescent="0.25">
      <c r="A173">
        <v>26</v>
      </c>
      <c r="B173">
        <v>3</v>
      </c>
      <c r="C173">
        <v>3</v>
      </c>
      <c r="D173">
        <v>6</v>
      </c>
      <c r="E173">
        <v>39</v>
      </c>
      <c r="F173">
        <v>0</v>
      </c>
      <c r="G173" t="s">
        <v>70</v>
      </c>
      <c r="J173" t="s">
        <v>13</v>
      </c>
      <c r="K173" t="s">
        <v>66</v>
      </c>
      <c r="L173"/>
      <c r="M173">
        <v>1</v>
      </c>
      <c r="N173">
        <v>0</v>
      </c>
      <c r="O173"/>
      <c r="P173" s="17">
        <f>Table11[[#This Row],[Gain/Loss]]</f>
        <v>0</v>
      </c>
      <c r="Q173" s="17">
        <f>IF(Table11[[#This Row],[Direction]]="L",0.5,IF(Table11[[#This Row],[Direction]]="M",1.5,2.5))</f>
        <v>2.5</v>
      </c>
      <c r="R173" s="17" t="str">
        <f>IF(Table11[[#This Row],[Direction]]="R","Right",IF(Table11[[#This Row],[Direction]]="L","Left","Middle"))</f>
        <v>Right</v>
      </c>
      <c r="S173" s="17">
        <f>IF(Table11[[#This Row],[Pass Zone]]="S",0.5,IF(Table11[[#This Row],[Pass Zone]]="M",1.5,2.5))</f>
        <v>2.5</v>
      </c>
      <c r="T173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73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173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07:  3rd &amp; 4 - 7</v>
      </c>
      <c r="W173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  <c r="Y173"/>
    </row>
    <row r="174" spans="1:25" x14ac:dyDescent="0.25">
      <c r="A174">
        <v>35</v>
      </c>
      <c r="B174">
        <v>1</v>
      </c>
      <c r="C174">
        <v>1</v>
      </c>
      <c r="D174">
        <v>10</v>
      </c>
      <c r="E174">
        <v>-40</v>
      </c>
      <c r="F174">
        <v>2</v>
      </c>
      <c r="G174" t="s">
        <v>72</v>
      </c>
      <c r="J174" t="s">
        <v>12</v>
      </c>
      <c r="K174" t="s">
        <v>66</v>
      </c>
      <c r="L174" t="s">
        <v>74</v>
      </c>
      <c r="M174">
        <v>1</v>
      </c>
      <c r="N174"/>
      <c r="O174"/>
      <c r="P174" s="17">
        <f>Table11[[#This Row],[Gain/Loss]]</f>
        <v>2</v>
      </c>
      <c r="Q174" s="17">
        <f>IF(Table11[[#This Row],[Direction]]="L",0.5,IF(Table11[[#This Row],[Direction]]="M",1.5,2.5))</f>
        <v>2.5</v>
      </c>
      <c r="R174" s="17" t="str">
        <f>IF(Table11[[#This Row],[Direction]]="R","Right",IF(Table11[[#This Row],[Direction]]="L","Left","Middle"))</f>
        <v>Right</v>
      </c>
      <c r="S174" s="17">
        <f>IF(Table11[[#This Row],[Pass Zone]]="S",0.5,IF(Table11[[#This Row],[Pass Zone]]="M",1.5,2.5))</f>
        <v>2.5</v>
      </c>
      <c r="T174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74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174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174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  <c r="Y174"/>
    </row>
    <row r="175" spans="1:25" x14ac:dyDescent="0.25">
      <c r="A175">
        <v>36</v>
      </c>
      <c r="B175">
        <v>2</v>
      </c>
      <c r="C175">
        <v>2</v>
      </c>
      <c r="D175">
        <v>8</v>
      </c>
      <c r="E175">
        <v>-42</v>
      </c>
      <c r="F175">
        <v>2</v>
      </c>
      <c r="G175" t="s">
        <v>66</v>
      </c>
      <c r="J175" t="s">
        <v>12</v>
      </c>
      <c r="K175" t="s">
        <v>72</v>
      </c>
      <c r="L175" t="s">
        <v>74</v>
      </c>
      <c r="M175">
        <v>1</v>
      </c>
      <c r="N175"/>
      <c r="O175"/>
      <c r="P175" s="17">
        <f>Table11[[#This Row],[Gain/Loss]]</f>
        <v>2</v>
      </c>
      <c r="Q175" s="17">
        <f>IF(Table11[[#This Row],[Direction]]="L",0.5,IF(Table11[[#This Row],[Direction]]="M",1.5,2.5))</f>
        <v>0.5</v>
      </c>
      <c r="R175" s="17" t="str">
        <f>IF(Table11[[#This Row],[Direction]]="R","Right",IF(Table11[[#This Row],[Direction]]="L","Left","Middle"))</f>
        <v>Left</v>
      </c>
      <c r="S175" s="17">
        <f>IF(Table11[[#This Row],[Pass Zone]]="S",0.5,IF(Table11[[#This Row],[Pass Zone]]="M",1.5,2.5))</f>
        <v>2.5</v>
      </c>
      <c r="T175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75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175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03:  2nd &amp; 8+</v>
      </c>
      <c r="W175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  <c r="Y175"/>
    </row>
    <row r="176" spans="1:25" x14ac:dyDescent="0.25">
      <c r="A176">
        <v>37</v>
      </c>
      <c r="B176">
        <v>3</v>
      </c>
      <c r="C176">
        <v>3</v>
      </c>
      <c r="D176">
        <v>6</v>
      </c>
      <c r="E176">
        <v>-44</v>
      </c>
      <c r="F176">
        <v>-7</v>
      </c>
      <c r="G176" t="s">
        <v>66</v>
      </c>
      <c r="J176" t="s">
        <v>13</v>
      </c>
      <c r="K176" t="s">
        <v>70</v>
      </c>
      <c r="L176"/>
      <c r="M176">
        <v>1</v>
      </c>
      <c r="N176">
        <v>0</v>
      </c>
      <c r="O176" t="s">
        <v>67</v>
      </c>
      <c r="P176" s="17">
        <f>Table11[[#This Row],[Gain/Loss]]</f>
        <v>-7</v>
      </c>
      <c r="Q176" s="17">
        <f>IF(Table11[[#This Row],[Direction]]="L",0.5,IF(Table11[[#This Row],[Direction]]="M",1.5,2.5))</f>
        <v>1.5</v>
      </c>
      <c r="R176" s="17" t="str">
        <f>IF(Table11[[#This Row],[Direction]]="R","Right",IF(Table11[[#This Row],[Direction]]="L","Left","Middle"))</f>
        <v>Middle</v>
      </c>
      <c r="S176" s="17">
        <f>IF(Table11[[#This Row],[Pass Zone]]="S",0.5,IF(Table11[[#This Row],[Pass Zone]]="M",1.5,2.5))</f>
        <v>0.5</v>
      </c>
      <c r="T176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76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176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07:  3rd &amp; 4 - 7</v>
      </c>
      <c r="W176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  <c r="Y176"/>
    </row>
    <row r="177" spans="1:25" x14ac:dyDescent="0.25">
      <c r="A177">
        <v>46</v>
      </c>
      <c r="B177">
        <v>1</v>
      </c>
      <c r="C177">
        <v>1</v>
      </c>
      <c r="D177">
        <v>10</v>
      </c>
      <c r="E177">
        <v>-32</v>
      </c>
      <c r="F177">
        <v>0</v>
      </c>
      <c r="G177" t="s">
        <v>72</v>
      </c>
      <c r="J177" t="s">
        <v>13</v>
      </c>
      <c r="K177" t="s">
        <v>66</v>
      </c>
      <c r="L177"/>
      <c r="M177">
        <v>1</v>
      </c>
      <c r="N177">
        <v>0</v>
      </c>
      <c r="O177"/>
      <c r="P177" s="17">
        <f>Table11[[#This Row],[Gain/Loss]]</f>
        <v>0</v>
      </c>
      <c r="Q177" s="17">
        <f>IF(Table11[[#This Row],[Direction]]="L",0.5,IF(Table11[[#This Row],[Direction]]="M",1.5,2.5))</f>
        <v>2.5</v>
      </c>
      <c r="R177" s="17" t="str">
        <f>IF(Table11[[#This Row],[Direction]]="R","Right",IF(Table11[[#This Row],[Direction]]="L","Left","Middle"))</f>
        <v>Right</v>
      </c>
      <c r="S177" s="17">
        <f>IF(Table11[[#This Row],[Pass Zone]]="S",0.5,IF(Table11[[#This Row],[Pass Zone]]="M",1.5,2.5))</f>
        <v>2.5</v>
      </c>
      <c r="T177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77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177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177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  <c r="Y177"/>
    </row>
    <row r="178" spans="1:25" x14ac:dyDescent="0.25">
      <c r="A178">
        <v>47</v>
      </c>
      <c r="B178">
        <v>2</v>
      </c>
      <c r="C178">
        <v>2</v>
      </c>
      <c r="D178">
        <v>10</v>
      </c>
      <c r="E178">
        <v>-32</v>
      </c>
      <c r="F178">
        <v>16</v>
      </c>
      <c r="G178" t="s">
        <v>72</v>
      </c>
      <c r="J178" t="s">
        <v>12</v>
      </c>
      <c r="K178" t="s">
        <v>66</v>
      </c>
      <c r="L178" t="s">
        <v>74</v>
      </c>
      <c r="M178">
        <v>1</v>
      </c>
      <c r="N178"/>
      <c r="O178"/>
      <c r="P178" s="17">
        <f>Table11[[#This Row],[Gain/Loss]]</f>
        <v>16</v>
      </c>
      <c r="Q178" s="17">
        <f>IF(Table11[[#This Row],[Direction]]="L",0.5,IF(Table11[[#This Row],[Direction]]="M",1.5,2.5))</f>
        <v>2.5</v>
      </c>
      <c r="R178" s="17" t="str">
        <f>IF(Table11[[#This Row],[Direction]]="R","Right",IF(Table11[[#This Row],[Direction]]="L","Left","Middle"))</f>
        <v>Right</v>
      </c>
      <c r="S178" s="17">
        <f>IF(Table11[[#This Row],[Pass Zone]]="S",0.5,IF(Table11[[#This Row],[Pass Zone]]="M",1.5,2.5))</f>
        <v>2.5</v>
      </c>
      <c r="T178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78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178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03:  2nd &amp; 8+</v>
      </c>
      <c r="W178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  <c r="Y178"/>
    </row>
    <row r="179" spans="1:25" x14ac:dyDescent="0.25">
      <c r="A179">
        <v>48</v>
      </c>
      <c r="B179">
        <v>1</v>
      </c>
      <c r="C179">
        <v>1</v>
      </c>
      <c r="D179">
        <v>10</v>
      </c>
      <c r="E179">
        <v>-48</v>
      </c>
      <c r="F179">
        <v>8</v>
      </c>
      <c r="G179" t="s">
        <v>72</v>
      </c>
      <c r="J179" t="s">
        <v>12</v>
      </c>
      <c r="K179" t="s">
        <v>72</v>
      </c>
      <c r="L179" t="s">
        <v>74</v>
      </c>
      <c r="M179">
        <v>1</v>
      </c>
      <c r="N179"/>
      <c r="O179"/>
      <c r="P179" s="17">
        <f>Table11[[#This Row],[Gain/Loss]]</f>
        <v>8</v>
      </c>
      <c r="Q179" s="17">
        <f>IF(Table11[[#This Row],[Direction]]="L",0.5,IF(Table11[[#This Row],[Direction]]="M",1.5,2.5))</f>
        <v>0.5</v>
      </c>
      <c r="R179" s="17" t="str">
        <f>IF(Table11[[#This Row],[Direction]]="R","Right",IF(Table11[[#This Row],[Direction]]="L","Left","Middle"))</f>
        <v>Left</v>
      </c>
      <c r="S179" s="17">
        <f>IF(Table11[[#This Row],[Pass Zone]]="S",0.5,IF(Table11[[#This Row],[Pass Zone]]="M",1.5,2.5))</f>
        <v>2.5</v>
      </c>
      <c r="T179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79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179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179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  <c r="Y179"/>
    </row>
    <row r="180" spans="1:25" x14ac:dyDescent="0.25">
      <c r="A180">
        <v>49</v>
      </c>
      <c r="B180">
        <v>2</v>
      </c>
      <c r="C180">
        <v>2</v>
      </c>
      <c r="D180">
        <v>2</v>
      </c>
      <c r="E180">
        <v>44</v>
      </c>
      <c r="F180">
        <v>14</v>
      </c>
      <c r="G180" t="s">
        <v>72</v>
      </c>
      <c r="J180" t="s">
        <v>12</v>
      </c>
      <c r="K180" t="s">
        <v>72</v>
      </c>
      <c r="L180" t="s">
        <v>74</v>
      </c>
      <c r="M180">
        <v>1</v>
      </c>
      <c r="N180"/>
      <c r="O180"/>
      <c r="P180" s="17">
        <f>Table11[[#This Row],[Gain/Loss]]</f>
        <v>14</v>
      </c>
      <c r="Q180" s="17">
        <f>IF(Table11[[#This Row],[Direction]]="L",0.5,IF(Table11[[#This Row],[Direction]]="M",1.5,2.5))</f>
        <v>0.5</v>
      </c>
      <c r="R180" s="17" t="str">
        <f>IF(Table11[[#This Row],[Direction]]="R","Right",IF(Table11[[#This Row],[Direction]]="L","Left","Middle"))</f>
        <v>Left</v>
      </c>
      <c r="S180" s="17">
        <f>IF(Table11[[#This Row],[Pass Zone]]="S",0.5,IF(Table11[[#This Row],[Pass Zone]]="M",1.5,2.5))</f>
        <v>2.5</v>
      </c>
      <c r="T180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80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180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05:  2nd &amp; &lt; 4</v>
      </c>
      <c r="W180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  <c r="Y180"/>
    </row>
    <row r="181" spans="1:25" x14ac:dyDescent="0.25">
      <c r="A181">
        <v>50</v>
      </c>
      <c r="B181">
        <v>1</v>
      </c>
      <c r="C181">
        <v>1</v>
      </c>
      <c r="D181">
        <v>10</v>
      </c>
      <c r="E181">
        <v>30</v>
      </c>
      <c r="F181">
        <v>3</v>
      </c>
      <c r="G181" t="s">
        <v>72</v>
      </c>
      <c r="J181" t="s">
        <v>12</v>
      </c>
      <c r="K181" t="s">
        <v>72</v>
      </c>
      <c r="L181" t="s">
        <v>74</v>
      </c>
      <c r="M181">
        <v>1</v>
      </c>
      <c r="N181"/>
      <c r="O181"/>
      <c r="P181" s="17">
        <f>Table11[[#This Row],[Gain/Loss]]</f>
        <v>3</v>
      </c>
      <c r="Q181" s="17">
        <f>IF(Table11[[#This Row],[Direction]]="L",0.5,IF(Table11[[#This Row],[Direction]]="M",1.5,2.5))</f>
        <v>0.5</v>
      </c>
      <c r="R181" s="17" t="str">
        <f>IF(Table11[[#This Row],[Direction]]="R","Right",IF(Table11[[#This Row],[Direction]]="L","Left","Middle"))</f>
        <v>Left</v>
      </c>
      <c r="S181" s="17">
        <f>IF(Table11[[#This Row],[Pass Zone]]="S",0.5,IF(Table11[[#This Row],[Pass Zone]]="M",1.5,2.5))</f>
        <v>2.5</v>
      </c>
      <c r="T181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81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181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181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  <c r="Y181"/>
    </row>
    <row r="182" spans="1:25" x14ac:dyDescent="0.25">
      <c r="A182">
        <v>51</v>
      </c>
      <c r="B182">
        <v>2</v>
      </c>
      <c r="C182">
        <v>2</v>
      </c>
      <c r="D182">
        <v>7</v>
      </c>
      <c r="E182">
        <v>27</v>
      </c>
      <c r="F182">
        <v>17</v>
      </c>
      <c r="G182" t="s">
        <v>72</v>
      </c>
      <c r="J182" t="s">
        <v>12</v>
      </c>
      <c r="K182" t="s">
        <v>66</v>
      </c>
      <c r="L182" t="s">
        <v>74</v>
      </c>
      <c r="M182">
        <v>1</v>
      </c>
      <c r="N182"/>
      <c r="O182"/>
      <c r="P182" s="17">
        <f>Table11[[#This Row],[Gain/Loss]]</f>
        <v>17</v>
      </c>
      <c r="Q182" s="17">
        <f>IF(Table11[[#This Row],[Direction]]="L",0.5,IF(Table11[[#This Row],[Direction]]="M",1.5,2.5))</f>
        <v>2.5</v>
      </c>
      <c r="R182" s="17" t="str">
        <f>IF(Table11[[#This Row],[Direction]]="R","Right",IF(Table11[[#This Row],[Direction]]="L","Left","Middle"))</f>
        <v>Right</v>
      </c>
      <c r="S182" s="17">
        <f>IF(Table11[[#This Row],[Pass Zone]]="S",0.5,IF(Table11[[#This Row],[Pass Zone]]="M",1.5,2.5))</f>
        <v>2.5</v>
      </c>
      <c r="T182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82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182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04:  2nd &amp; 4 - 7</v>
      </c>
      <c r="W182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  <c r="Y182"/>
    </row>
    <row r="183" spans="1:25" x14ac:dyDescent="0.25">
      <c r="A183">
        <v>52</v>
      </c>
      <c r="B183">
        <v>1</v>
      </c>
      <c r="C183">
        <v>1</v>
      </c>
      <c r="D183">
        <v>10</v>
      </c>
      <c r="E183">
        <v>10</v>
      </c>
      <c r="F183">
        <v>-3</v>
      </c>
      <c r="G183" t="s">
        <v>66</v>
      </c>
      <c r="J183" t="s">
        <v>12</v>
      </c>
      <c r="K183" t="s">
        <v>72</v>
      </c>
      <c r="L183" t="s">
        <v>74</v>
      </c>
      <c r="M183">
        <v>1</v>
      </c>
      <c r="N183"/>
      <c r="O183"/>
      <c r="P183" s="17">
        <f>Table11[[#This Row],[Gain/Loss]]</f>
        <v>-3</v>
      </c>
      <c r="Q183" s="17">
        <f>IF(Table11[[#This Row],[Direction]]="L",0.5,IF(Table11[[#This Row],[Direction]]="M",1.5,2.5))</f>
        <v>0.5</v>
      </c>
      <c r="R183" s="17" t="str">
        <f>IF(Table11[[#This Row],[Direction]]="R","Right",IF(Table11[[#This Row],[Direction]]="L","Left","Middle"))</f>
        <v>Left</v>
      </c>
      <c r="S183" s="17">
        <f>IF(Table11[[#This Row],[Pass Zone]]="S",0.5,IF(Table11[[#This Row],[Pass Zone]]="M",1.5,2.5))</f>
        <v>2.5</v>
      </c>
      <c r="T183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83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183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183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Red Zone</v>
      </c>
      <c r="Y183"/>
    </row>
    <row r="184" spans="1:25" x14ac:dyDescent="0.25">
      <c r="A184">
        <v>53</v>
      </c>
      <c r="B184">
        <v>2</v>
      </c>
      <c r="C184">
        <v>2</v>
      </c>
      <c r="D184">
        <v>13</v>
      </c>
      <c r="E184">
        <v>13</v>
      </c>
      <c r="F184">
        <v>0</v>
      </c>
      <c r="G184" t="s">
        <v>72</v>
      </c>
      <c r="J184" t="s">
        <v>13</v>
      </c>
      <c r="K184" t="s">
        <v>66</v>
      </c>
      <c r="L184"/>
      <c r="M184">
        <v>1</v>
      </c>
      <c r="N184">
        <v>0</v>
      </c>
      <c r="O184"/>
      <c r="P184" s="17">
        <f>Table11[[#This Row],[Gain/Loss]]</f>
        <v>0</v>
      </c>
      <c r="Q184" s="17">
        <f>IF(Table11[[#This Row],[Direction]]="L",0.5,IF(Table11[[#This Row],[Direction]]="M",1.5,2.5))</f>
        <v>2.5</v>
      </c>
      <c r="R184" s="17" t="str">
        <f>IF(Table11[[#This Row],[Direction]]="R","Right",IF(Table11[[#This Row],[Direction]]="L","Left","Middle"))</f>
        <v>Right</v>
      </c>
      <c r="S184" s="17">
        <f>IF(Table11[[#This Row],[Pass Zone]]="S",0.5,IF(Table11[[#This Row],[Pass Zone]]="M",1.5,2.5))</f>
        <v>2.5</v>
      </c>
      <c r="T184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84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184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03:  2nd &amp; 8+</v>
      </c>
      <c r="W184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Red Zone</v>
      </c>
      <c r="Y184"/>
    </row>
    <row r="185" spans="1:25" x14ac:dyDescent="0.25">
      <c r="A185">
        <v>54</v>
      </c>
      <c r="B185">
        <v>3</v>
      </c>
      <c r="C185">
        <v>3</v>
      </c>
      <c r="D185">
        <v>13</v>
      </c>
      <c r="E185">
        <v>13</v>
      </c>
      <c r="F185">
        <v>1</v>
      </c>
      <c r="G185" t="s">
        <v>72</v>
      </c>
      <c r="J185" t="s">
        <v>12</v>
      </c>
      <c r="K185" t="s">
        <v>66</v>
      </c>
      <c r="L185" t="s">
        <v>74</v>
      </c>
      <c r="M185">
        <v>1</v>
      </c>
      <c r="N185"/>
      <c r="O185"/>
      <c r="P185" s="17">
        <f>Table11[[#This Row],[Gain/Loss]]</f>
        <v>1</v>
      </c>
      <c r="Q185" s="17">
        <f>IF(Table11[[#This Row],[Direction]]="L",0.5,IF(Table11[[#This Row],[Direction]]="M",1.5,2.5))</f>
        <v>2.5</v>
      </c>
      <c r="R185" s="17" t="str">
        <f>IF(Table11[[#This Row],[Direction]]="R","Right",IF(Table11[[#This Row],[Direction]]="L","Left","Middle"))</f>
        <v>Right</v>
      </c>
      <c r="S185" s="17">
        <f>IF(Table11[[#This Row],[Pass Zone]]="S",0.5,IF(Table11[[#This Row],[Pass Zone]]="M",1.5,2.5))</f>
        <v>2.5</v>
      </c>
      <c r="T185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85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185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06:  3rd &amp; 8+</v>
      </c>
      <c r="W185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Red Zone</v>
      </c>
      <c r="Y185"/>
    </row>
    <row r="186" spans="1:25" x14ac:dyDescent="0.25">
      <c r="A186">
        <v>68</v>
      </c>
      <c r="B186">
        <v>2</v>
      </c>
      <c r="C186">
        <v>2</v>
      </c>
      <c r="D186">
        <v>15</v>
      </c>
      <c r="E186">
        <v>-24</v>
      </c>
      <c r="F186">
        <v>0</v>
      </c>
      <c r="G186" t="s">
        <v>70</v>
      </c>
      <c r="J186" t="s">
        <v>13</v>
      </c>
      <c r="K186" t="s">
        <v>72</v>
      </c>
      <c r="L186"/>
      <c r="M186">
        <v>1</v>
      </c>
      <c r="N186">
        <v>0</v>
      </c>
      <c r="O186"/>
      <c r="P186" s="17">
        <f>Table11[[#This Row],[Gain/Loss]]</f>
        <v>0</v>
      </c>
      <c r="Q186" s="17">
        <f>IF(Table11[[#This Row],[Direction]]="L",0.5,IF(Table11[[#This Row],[Direction]]="M",1.5,2.5))</f>
        <v>0.5</v>
      </c>
      <c r="R186" s="17" t="str">
        <f>IF(Table11[[#This Row],[Direction]]="R","Right",IF(Table11[[#This Row],[Direction]]="L","Left","Middle"))</f>
        <v>Left</v>
      </c>
      <c r="S186" s="17">
        <f>IF(Table11[[#This Row],[Pass Zone]]="S",0.5,IF(Table11[[#This Row],[Pass Zone]]="M",1.5,2.5))</f>
        <v>2.5</v>
      </c>
      <c r="T186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86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186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03:  2nd &amp; 8+</v>
      </c>
      <c r="W186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  <c r="Y186"/>
    </row>
    <row r="187" spans="1:25" x14ac:dyDescent="0.25">
      <c r="A187">
        <v>69</v>
      </c>
      <c r="B187">
        <v>3</v>
      </c>
      <c r="C187">
        <v>3</v>
      </c>
      <c r="D187">
        <v>16</v>
      </c>
      <c r="E187">
        <v>-23</v>
      </c>
      <c r="F187">
        <v>2</v>
      </c>
      <c r="G187" t="s">
        <v>70</v>
      </c>
      <c r="J187" t="s">
        <v>12</v>
      </c>
      <c r="K187" t="s">
        <v>66</v>
      </c>
      <c r="L187" t="s">
        <v>74</v>
      </c>
      <c r="M187">
        <v>1</v>
      </c>
      <c r="N187"/>
      <c r="O187"/>
      <c r="P187" s="17">
        <f>Table11[[#This Row],[Gain/Loss]]</f>
        <v>2</v>
      </c>
      <c r="Q187" s="17">
        <f>IF(Table11[[#This Row],[Direction]]="L",0.5,IF(Table11[[#This Row],[Direction]]="M",1.5,2.5))</f>
        <v>2.5</v>
      </c>
      <c r="R187" s="17" t="str">
        <f>IF(Table11[[#This Row],[Direction]]="R","Right",IF(Table11[[#This Row],[Direction]]="L","Left","Middle"))</f>
        <v>Right</v>
      </c>
      <c r="S187" s="17">
        <f>IF(Table11[[#This Row],[Pass Zone]]="S",0.5,IF(Table11[[#This Row],[Pass Zone]]="M",1.5,2.5))</f>
        <v>2.5</v>
      </c>
      <c r="T187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87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187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06:  3rd &amp; 8+</v>
      </c>
      <c r="W187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  <c r="Y187"/>
    </row>
    <row r="188" spans="1:25" x14ac:dyDescent="0.25">
      <c r="A188">
        <v>70</v>
      </c>
      <c r="B188">
        <v>4</v>
      </c>
      <c r="C188">
        <v>4</v>
      </c>
      <c r="D188">
        <v>14</v>
      </c>
      <c r="E188">
        <v>-25</v>
      </c>
      <c r="F188">
        <v>0</v>
      </c>
      <c r="G188" t="s">
        <v>70</v>
      </c>
      <c r="J188" t="s">
        <v>13</v>
      </c>
      <c r="K188" t="s">
        <v>72</v>
      </c>
      <c r="L188"/>
      <c r="M188">
        <v>1</v>
      </c>
      <c r="N188">
        <v>0</v>
      </c>
      <c r="O188"/>
      <c r="P188" s="17">
        <f>Table11[[#This Row],[Gain/Loss]]</f>
        <v>0</v>
      </c>
      <c r="Q188" s="17">
        <f>IF(Table11[[#This Row],[Direction]]="L",0.5,IF(Table11[[#This Row],[Direction]]="M",1.5,2.5))</f>
        <v>0.5</v>
      </c>
      <c r="R188" s="17" t="str">
        <f>IF(Table11[[#This Row],[Direction]]="R","Right",IF(Table11[[#This Row],[Direction]]="L","Left","Middle"))</f>
        <v>Left</v>
      </c>
      <c r="S188" s="17">
        <f>IF(Table11[[#This Row],[Pass Zone]]="S",0.5,IF(Table11[[#This Row],[Pass Zone]]="M",1.5,2.5))</f>
        <v>2.5</v>
      </c>
      <c r="T188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88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188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09:  4th &amp; 2+</v>
      </c>
      <c r="W188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  <c r="Y188"/>
    </row>
    <row r="189" spans="1:25" x14ac:dyDescent="0.25">
      <c r="A189">
        <v>76</v>
      </c>
      <c r="B189">
        <v>1</v>
      </c>
      <c r="C189">
        <v>1</v>
      </c>
      <c r="D189">
        <v>10</v>
      </c>
      <c r="E189">
        <v>-26</v>
      </c>
      <c r="F189">
        <v>-5</v>
      </c>
      <c r="G189" t="s">
        <v>66</v>
      </c>
      <c r="J189" t="s">
        <v>13</v>
      </c>
      <c r="K189" t="s">
        <v>70</v>
      </c>
      <c r="L189"/>
      <c r="M189">
        <v>1</v>
      </c>
      <c r="N189">
        <v>0</v>
      </c>
      <c r="O189" t="s">
        <v>67</v>
      </c>
      <c r="P189" s="17">
        <f>Table11[[#This Row],[Gain/Loss]]</f>
        <v>-5</v>
      </c>
      <c r="Q189" s="17">
        <f>IF(Table11[[#This Row],[Direction]]="L",0.5,IF(Table11[[#This Row],[Direction]]="M",1.5,2.5))</f>
        <v>1.5</v>
      </c>
      <c r="R189" s="17" t="str">
        <f>IF(Table11[[#This Row],[Direction]]="R","Right",IF(Table11[[#This Row],[Direction]]="L","Left","Middle"))</f>
        <v>Middle</v>
      </c>
      <c r="S189" s="17">
        <f>IF(Table11[[#This Row],[Pass Zone]]="S",0.5,IF(Table11[[#This Row],[Pass Zone]]="M",1.5,2.5))</f>
        <v>0.5</v>
      </c>
      <c r="T189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89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189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189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  <c r="Y189"/>
    </row>
    <row r="190" spans="1:25" x14ac:dyDescent="0.25">
      <c r="A190">
        <v>77</v>
      </c>
      <c r="B190">
        <v>2</v>
      </c>
      <c r="C190">
        <v>2</v>
      </c>
      <c r="D190">
        <v>15</v>
      </c>
      <c r="E190">
        <v>-21</v>
      </c>
      <c r="F190">
        <v>0</v>
      </c>
      <c r="G190" t="s">
        <v>70</v>
      </c>
      <c r="J190" t="s">
        <v>13</v>
      </c>
      <c r="K190" t="s">
        <v>66</v>
      </c>
      <c r="L190"/>
      <c r="M190">
        <v>1</v>
      </c>
      <c r="N190">
        <v>0</v>
      </c>
      <c r="O190"/>
      <c r="P190" s="17">
        <f>Table11[[#This Row],[Gain/Loss]]</f>
        <v>0</v>
      </c>
      <c r="Q190" s="17">
        <f>IF(Table11[[#This Row],[Direction]]="L",0.5,IF(Table11[[#This Row],[Direction]]="M",1.5,2.5))</f>
        <v>2.5</v>
      </c>
      <c r="R190" s="17" t="str">
        <f>IF(Table11[[#This Row],[Direction]]="R","Right",IF(Table11[[#This Row],[Direction]]="L","Left","Middle"))</f>
        <v>Right</v>
      </c>
      <c r="S190" s="17">
        <f>IF(Table11[[#This Row],[Pass Zone]]="S",0.5,IF(Table11[[#This Row],[Pass Zone]]="M",1.5,2.5))</f>
        <v>2.5</v>
      </c>
      <c r="T190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90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190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03:  2nd &amp; 8+</v>
      </c>
      <c r="W190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  <c r="Y190"/>
    </row>
    <row r="191" spans="1:25" x14ac:dyDescent="0.25">
      <c r="A191">
        <v>81</v>
      </c>
      <c r="B191">
        <v>1</v>
      </c>
      <c r="C191">
        <v>1</v>
      </c>
      <c r="D191">
        <v>10</v>
      </c>
      <c r="E191">
        <v>-40</v>
      </c>
      <c r="F191">
        <v>3</v>
      </c>
      <c r="G191" t="s">
        <v>70</v>
      </c>
      <c r="J191" t="s">
        <v>12</v>
      </c>
      <c r="K191" t="s">
        <v>66</v>
      </c>
      <c r="L191" t="s">
        <v>74</v>
      </c>
      <c r="M191">
        <v>1</v>
      </c>
      <c r="N191"/>
      <c r="O191"/>
      <c r="P191" s="17">
        <f>Table11[[#This Row],[Gain/Loss]]</f>
        <v>3</v>
      </c>
      <c r="Q191" s="17">
        <f>IF(Table11[[#This Row],[Direction]]="L",0.5,IF(Table11[[#This Row],[Direction]]="M",1.5,2.5))</f>
        <v>2.5</v>
      </c>
      <c r="R191" s="17" t="str">
        <f>IF(Table11[[#This Row],[Direction]]="R","Right",IF(Table11[[#This Row],[Direction]]="L","Left","Middle"))</f>
        <v>Right</v>
      </c>
      <c r="S191" s="17">
        <f>IF(Table11[[#This Row],[Pass Zone]]="S",0.5,IF(Table11[[#This Row],[Pass Zone]]="M",1.5,2.5))</f>
        <v>2.5</v>
      </c>
      <c r="T191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91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191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191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  <c r="Y191"/>
    </row>
    <row r="192" spans="1:25" x14ac:dyDescent="0.25">
      <c r="A192">
        <v>83</v>
      </c>
      <c r="B192">
        <v>2</v>
      </c>
      <c r="C192">
        <v>2</v>
      </c>
      <c r="D192">
        <v>7</v>
      </c>
      <c r="E192">
        <v>-43</v>
      </c>
      <c r="F192">
        <v>0</v>
      </c>
      <c r="G192" t="s">
        <v>66</v>
      </c>
      <c r="J192" t="s">
        <v>13</v>
      </c>
      <c r="K192" t="s">
        <v>72</v>
      </c>
      <c r="L192"/>
      <c r="M192">
        <v>1</v>
      </c>
      <c r="N192">
        <v>0</v>
      </c>
      <c r="O192"/>
      <c r="P192" s="17">
        <f>Table11[[#This Row],[Gain/Loss]]</f>
        <v>0</v>
      </c>
      <c r="Q192" s="17">
        <f>IF(Table11[[#This Row],[Direction]]="L",0.5,IF(Table11[[#This Row],[Direction]]="M",1.5,2.5))</f>
        <v>0.5</v>
      </c>
      <c r="R192" s="17" t="str">
        <f>IF(Table11[[#This Row],[Direction]]="R","Right",IF(Table11[[#This Row],[Direction]]="L","Left","Middle"))</f>
        <v>Left</v>
      </c>
      <c r="S192" s="17">
        <f>IF(Table11[[#This Row],[Pass Zone]]="S",0.5,IF(Table11[[#This Row],[Pass Zone]]="M",1.5,2.5))</f>
        <v>2.5</v>
      </c>
      <c r="T192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92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192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04:  2nd &amp; 4 - 7</v>
      </c>
      <c r="W192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  <c r="Y192"/>
    </row>
    <row r="193" spans="1:25" x14ac:dyDescent="0.25">
      <c r="A193">
        <v>84</v>
      </c>
      <c r="B193">
        <v>3</v>
      </c>
      <c r="C193">
        <v>3</v>
      </c>
      <c r="D193">
        <v>13</v>
      </c>
      <c r="E193">
        <v>-43</v>
      </c>
      <c r="F193">
        <v>-10</v>
      </c>
      <c r="G193" t="s">
        <v>66</v>
      </c>
      <c r="J193" t="s">
        <v>13</v>
      </c>
      <c r="K193" t="s">
        <v>70</v>
      </c>
      <c r="L193"/>
      <c r="M193">
        <v>1</v>
      </c>
      <c r="N193">
        <v>0</v>
      </c>
      <c r="O193" t="s">
        <v>67</v>
      </c>
      <c r="P193" s="17">
        <f>Table11[[#This Row],[Gain/Loss]]</f>
        <v>-10</v>
      </c>
      <c r="Q193" s="17">
        <f>IF(Table11[[#This Row],[Direction]]="L",0.5,IF(Table11[[#This Row],[Direction]]="M",1.5,2.5))</f>
        <v>1.5</v>
      </c>
      <c r="R193" s="17" t="str">
        <f>IF(Table11[[#This Row],[Direction]]="R","Right",IF(Table11[[#This Row],[Direction]]="L","Left","Middle"))</f>
        <v>Middle</v>
      </c>
      <c r="S193" s="17">
        <f>IF(Table11[[#This Row],[Pass Zone]]="S",0.5,IF(Table11[[#This Row],[Pass Zone]]="M",1.5,2.5))</f>
        <v>0.5</v>
      </c>
      <c r="T193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93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193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06:  3rd &amp; 8+</v>
      </c>
      <c r="W193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  <c r="Y193"/>
    </row>
    <row r="194" spans="1:25" x14ac:dyDescent="0.25">
      <c r="A194">
        <v>102</v>
      </c>
      <c r="B194">
        <v>2</v>
      </c>
      <c r="C194">
        <v>2</v>
      </c>
      <c r="D194">
        <v>14</v>
      </c>
      <c r="E194">
        <v>-28</v>
      </c>
      <c r="F194">
        <v>2</v>
      </c>
      <c r="G194" t="s">
        <v>70</v>
      </c>
      <c r="J194" t="s">
        <v>12</v>
      </c>
      <c r="K194" t="s">
        <v>72</v>
      </c>
      <c r="L194" t="s">
        <v>74</v>
      </c>
      <c r="M194">
        <v>1</v>
      </c>
      <c r="N194"/>
      <c r="O194"/>
      <c r="P194" s="17">
        <f>Table11[[#This Row],[Gain/Loss]]</f>
        <v>2</v>
      </c>
      <c r="Q194" s="17">
        <f>IF(Table11[[#This Row],[Direction]]="L",0.5,IF(Table11[[#This Row],[Direction]]="M",1.5,2.5))</f>
        <v>0.5</v>
      </c>
      <c r="R194" s="17" t="str">
        <f>IF(Table11[[#This Row],[Direction]]="R","Right",IF(Table11[[#This Row],[Direction]]="L","Left","Middle"))</f>
        <v>Left</v>
      </c>
      <c r="S194" s="17">
        <f>IF(Table11[[#This Row],[Pass Zone]]="S",0.5,IF(Table11[[#This Row],[Pass Zone]]="M",1.5,2.5))</f>
        <v>2.5</v>
      </c>
      <c r="T194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94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194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03:  2nd &amp; 8+</v>
      </c>
      <c r="W194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  <c r="Y194"/>
    </row>
    <row r="195" spans="1:25" x14ac:dyDescent="0.25">
      <c r="A195">
        <v>103</v>
      </c>
      <c r="B195">
        <v>3</v>
      </c>
      <c r="C195">
        <v>3</v>
      </c>
      <c r="D195">
        <v>12</v>
      </c>
      <c r="E195">
        <v>-30</v>
      </c>
      <c r="F195">
        <v>2</v>
      </c>
      <c r="G195" t="s">
        <v>70</v>
      </c>
      <c r="J195" t="s">
        <v>12</v>
      </c>
      <c r="K195" t="s">
        <v>66</v>
      </c>
      <c r="L195" t="s">
        <v>74</v>
      </c>
      <c r="M195">
        <v>1</v>
      </c>
      <c r="N195"/>
      <c r="O195"/>
      <c r="P195" s="17">
        <f>Table11[[#This Row],[Gain/Loss]]</f>
        <v>2</v>
      </c>
      <c r="Q195" s="17">
        <f>IF(Table11[[#This Row],[Direction]]="L",0.5,IF(Table11[[#This Row],[Direction]]="M",1.5,2.5))</f>
        <v>2.5</v>
      </c>
      <c r="R195" s="17" t="str">
        <f>IF(Table11[[#This Row],[Direction]]="R","Right",IF(Table11[[#This Row],[Direction]]="L","Left","Middle"))</f>
        <v>Right</v>
      </c>
      <c r="S195" s="17">
        <f>IF(Table11[[#This Row],[Pass Zone]]="S",0.5,IF(Table11[[#This Row],[Pass Zone]]="M",1.5,2.5))</f>
        <v>2.5</v>
      </c>
      <c r="T195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95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195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06:  3rd &amp; 8+</v>
      </c>
      <c r="W195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  <c r="Y195"/>
    </row>
    <row r="196" spans="1:25" x14ac:dyDescent="0.25">
      <c r="A196">
        <v>104</v>
      </c>
      <c r="B196">
        <v>4</v>
      </c>
      <c r="C196">
        <v>4</v>
      </c>
      <c r="D196">
        <v>10</v>
      </c>
      <c r="E196">
        <v>-32</v>
      </c>
      <c r="F196">
        <v>68</v>
      </c>
      <c r="G196" t="s">
        <v>70</v>
      </c>
      <c r="J196" t="s">
        <v>12</v>
      </c>
      <c r="K196" t="s">
        <v>66</v>
      </c>
      <c r="L196" t="s">
        <v>75</v>
      </c>
      <c r="M196">
        <v>1</v>
      </c>
      <c r="N196"/>
      <c r="O196"/>
      <c r="P196" s="17">
        <f>Table11[[#This Row],[Gain/Loss]]</f>
        <v>68</v>
      </c>
      <c r="Q196" s="17">
        <f>IF(Table11[[#This Row],[Direction]]="L",0.5,IF(Table11[[#This Row],[Direction]]="M",1.5,2.5))</f>
        <v>2.5</v>
      </c>
      <c r="R196" s="17" t="str">
        <f>IF(Table11[[#This Row],[Direction]]="R","Right",IF(Table11[[#This Row],[Direction]]="L","Left","Middle"))</f>
        <v>Right</v>
      </c>
      <c r="S196" s="17">
        <f>IF(Table11[[#This Row],[Pass Zone]]="S",0.5,IF(Table11[[#This Row],[Pass Zone]]="M",1.5,2.5))</f>
        <v>2.5</v>
      </c>
      <c r="T196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96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196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09:  4th &amp; 2+</v>
      </c>
      <c r="W196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  <c r="Y196"/>
    </row>
    <row r="197" spans="1:25" x14ac:dyDescent="0.25">
      <c r="A197">
        <v>114</v>
      </c>
      <c r="B197">
        <v>1</v>
      </c>
      <c r="C197">
        <v>1</v>
      </c>
      <c r="D197">
        <v>10</v>
      </c>
      <c r="E197">
        <v>50</v>
      </c>
      <c r="F197">
        <v>7</v>
      </c>
      <c r="G197" t="s">
        <v>66</v>
      </c>
      <c r="J197" t="s">
        <v>12</v>
      </c>
      <c r="K197" t="s">
        <v>66</v>
      </c>
      <c r="L197" t="s">
        <v>74</v>
      </c>
      <c r="M197">
        <v>1</v>
      </c>
      <c r="N197"/>
      <c r="O197"/>
      <c r="P197" s="17">
        <f>Table11[[#This Row],[Gain/Loss]]</f>
        <v>7</v>
      </c>
      <c r="Q197" s="17">
        <f>IF(Table11[[#This Row],[Direction]]="L",0.5,IF(Table11[[#This Row],[Direction]]="M",1.5,2.5))</f>
        <v>2.5</v>
      </c>
      <c r="R197" s="17" t="str">
        <f>IF(Table11[[#This Row],[Direction]]="R","Right",IF(Table11[[#This Row],[Direction]]="L","Left","Middle"))</f>
        <v>Right</v>
      </c>
      <c r="S197" s="17">
        <f>IF(Table11[[#This Row],[Pass Zone]]="S",0.5,IF(Table11[[#This Row],[Pass Zone]]="M",1.5,2.5))</f>
        <v>2.5</v>
      </c>
      <c r="T197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97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197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197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  <c r="Y197"/>
    </row>
    <row r="198" spans="1:25" x14ac:dyDescent="0.25">
      <c r="A198">
        <v>115</v>
      </c>
      <c r="B198">
        <v>2</v>
      </c>
      <c r="C198">
        <v>2</v>
      </c>
      <c r="D198">
        <v>3</v>
      </c>
      <c r="E198">
        <v>43</v>
      </c>
      <c r="F198">
        <v>2</v>
      </c>
      <c r="G198" t="s">
        <v>66</v>
      </c>
      <c r="J198" t="s">
        <v>12</v>
      </c>
      <c r="K198" t="s">
        <v>66</v>
      </c>
      <c r="L198" t="s">
        <v>74</v>
      </c>
      <c r="M198">
        <v>1</v>
      </c>
      <c r="N198"/>
      <c r="O198"/>
      <c r="P198" s="17">
        <f>Table11[[#This Row],[Gain/Loss]]</f>
        <v>2</v>
      </c>
      <c r="Q198" s="17">
        <f>IF(Table11[[#This Row],[Direction]]="L",0.5,IF(Table11[[#This Row],[Direction]]="M",1.5,2.5))</f>
        <v>2.5</v>
      </c>
      <c r="R198" s="17" t="str">
        <f>IF(Table11[[#This Row],[Direction]]="R","Right",IF(Table11[[#This Row],[Direction]]="L","Left","Middle"))</f>
        <v>Right</v>
      </c>
      <c r="S198" s="17">
        <f>IF(Table11[[#This Row],[Pass Zone]]="S",0.5,IF(Table11[[#This Row],[Pass Zone]]="M",1.5,2.5))</f>
        <v>2.5</v>
      </c>
      <c r="T198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98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198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05:  2nd &amp; &lt; 4</v>
      </c>
      <c r="W198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  <c r="Y198"/>
    </row>
    <row r="199" spans="1:25" x14ac:dyDescent="0.25">
      <c r="A199">
        <v>117</v>
      </c>
      <c r="B199">
        <v>3</v>
      </c>
      <c r="C199">
        <v>3</v>
      </c>
      <c r="D199">
        <v>6</v>
      </c>
      <c r="E199">
        <v>46</v>
      </c>
      <c r="F199">
        <v>-1</v>
      </c>
      <c r="G199" t="s">
        <v>66</v>
      </c>
      <c r="J199" t="s">
        <v>13</v>
      </c>
      <c r="K199" t="s">
        <v>70</v>
      </c>
      <c r="L199"/>
      <c r="M199">
        <v>1</v>
      </c>
      <c r="N199">
        <v>0</v>
      </c>
      <c r="O199" t="s">
        <v>67</v>
      </c>
      <c r="P199" s="17">
        <f>Table11[[#This Row],[Gain/Loss]]</f>
        <v>-1</v>
      </c>
      <c r="Q199" s="17">
        <f>IF(Table11[[#This Row],[Direction]]="L",0.5,IF(Table11[[#This Row],[Direction]]="M",1.5,2.5))</f>
        <v>1.5</v>
      </c>
      <c r="R199" s="17" t="str">
        <f>IF(Table11[[#This Row],[Direction]]="R","Right",IF(Table11[[#This Row],[Direction]]="L","Left","Middle"))</f>
        <v>Middle</v>
      </c>
      <c r="S199" s="17">
        <f>IF(Table11[[#This Row],[Pass Zone]]="S",0.5,IF(Table11[[#This Row],[Pass Zone]]="M",1.5,2.5))</f>
        <v>0.5</v>
      </c>
      <c r="T199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199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199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07:  3rd &amp; 4 - 7</v>
      </c>
      <c r="W199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  <c r="Y199"/>
    </row>
    <row r="200" spans="1:25" x14ac:dyDescent="0.25">
      <c r="A200">
        <v>134</v>
      </c>
      <c r="B200">
        <v>1</v>
      </c>
      <c r="C200">
        <v>1</v>
      </c>
      <c r="D200">
        <v>10</v>
      </c>
      <c r="E200">
        <v>-20</v>
      </c>
      <c r="F200">
        <v>7</v>
      </c>
      <c r="G200" t="s">
        <v>66</v>
      </c>
      <c r="J200" t="s">
        <v>12</v>
      </c>
      <c r="K200" t="s">
        <v>72</v>
      </c>
      <c r="L200" t="s">
        <v>74</v>
      </c>
      <c r="M200">
        <v>1</v>
      </c>
      <c r="N200"/>
      <c r="O200"/>
      <c r="P200" s="17">
        <f>Table11[[#This Row],[Gain/Loss]]</f>
        <v>7</v>
      </c>
      <c r="Q200" s="17">
        <f>IF(Table11[[#This Row],[Direction]]="L",0.5,IF(Table11[[#This Row],[Direction]]="M",1.5,2.5))</f>
        <v>0.5</v>
      </c>
      <c r="R200" s="17" t="str">
        <f>IF(Table11[[#This Row],[Direction]]="R","Right",IF(Table11[[#This Row],[Direction]]="L","Left","Middle"))</f>
        <v>Left</v>
      </c>
      <c r="S200" s="17">
        <f>IF(Table11[[#This Row],[Pass Zone]]="S",0.5,IF(Table11[[#This Row],[Pass Zone]]="M",1.5,2.5))</f>
        <v>2.5</v>
      </c>
      <c r="T200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200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200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200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0-20</v>
      </c>
      <c r="Y200"/>
    </row>
    <row r="201" spans="1:25" x14ac:dyDescent="0.25">
      <c r="A201">
        <v>135</v>
      </c>
      <c r="B201">
        <v>2</v>
      </c>
      <c r="C201">
        <v>2</v>
      </c>
      <c r="D201">
        <v>3</v>
      </c>
      <c r="E201">
        <v>-27</v>
      </c>
      <c r="F201">
        <v>8</v>
      </c>
      <c r="G201" t="s">
        <v>66</v>
      </c>
      <c r="J201" t="s">
        <v>12</v>
      </c>
      <c r="K201" t="s">
        <v>66</v>
      </c>
      <c r="L201" t="s">
        <v>74</v>
      </c>
      <c r="M201">
        <v>1</v>
      </c>
      <c r="N201"/>
      <c r="O201"/>
      <c r="P201" s="17">
        <f>Table11[[#This Row],[Gain/Loss]]</f>
        <v>8</v>
      </c>
      <c r="Q201" s="17">
        <f>IF(Table11[[#This Row],[Direction]]="L",0.5,IF(Table11[[#This Row],[Direction]]="M",1.5,2.5))</f>
        <v>2.5</v>
      </c>
      <c r="R201" s="17" t="str">
        <f>IF(Table11[[#This Row],[Direction]]="R","Right",IF(Table11[[#This Row],[Direction]]="L","Left","Middle"))</f>
        <v>Right</v>
      </c>
      <c r="S201" s="17">
        <f>IF(Table11[[#This Row],[Pass Zone]]="S",0.5,IF(Table11[[#This Row],[Pass Zone]]="M",1.5,2.5))</f>
        <v>2.5</v>
      </c>
      <c r="T201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201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201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05:  2nd &amp; &lt; 4</v>
      </c>
      <c r="W201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  <c r="Y201"/>
    </row>
    <row r="202" spans="1:25" x14ac:dyDescent="0.25">
      <c r="A202">
        <v>136</v>
      </c>
      <c r="B202">
        <v>1</v>
      </c>
      <c r="C202">
        <v>1</v>
      </c>
      <c r="D202">
        <v>10</v>
      </c>
      <c r="E202">
        <v>-35</v>
      </c>
      <c r="F202">
        <v>30</v>
      </c>
      <c r="G202" t="s">
        <v>66</v>
      </c>
      <c r="J202" t="s">
        <v>12</v>
      </c>
      <c r="K202" t="s">
        <v>66</v>
      </c>
      <c r="L202" t="s">
        <v>74</v>
      </c>
      <c r="M202">
        <v>1</v>
      </c>
      <c r="N202"/>
      <c r="O202"/>
      <c r="P202" s="17">
        <f>Table11[[#This Row],[Gain/Loss]]</f>
        <v>30</v>
      </c>
      <c r="Q202" s="17">
        <f>IF(Table11[[#This Row],[Direction]]="L",0.5,IF(Table11[[#This Row],[Direction]]="M",1.5,2.5))</f>
        <v>2.5</v>
      </c>
      <c r="R202" s="17" t="str">
        <f>IF(Table11[[#This Row],[Direction]]="R","Right",IF(Table11[[#This Row],[Direction]]="L","Left","Middle"))</f>
        <v>Right</v>
      </c>
      <c r="S202" s="17">
        <f>IF(Table11[[#This Row],[Pass Zone]]="S",0.5,IF(Table11[[#This Row],[Pass Zone]]="M",1.5,2.5))</f>
        <v>2.5</v>
      </c>
      <c r="T202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202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202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202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  <c r="Y202"/>
    </row>
    <row r="203" spans="1:25" x14ac:dyDescent="0.25">
      <c r="A203">
        <v>137</v>
      </c>
      <c r="B203">
        <v>1</v>
      </c>
      <c r="C203">
        <v>1</v>
      </c>
      <c r="D203">
        <v>10</v>
      </c>
      <c r="E203">
        <v>35</v>
      </c>
      <c r="F203">
        <v>-3</v>
      </c>
      <c r="G203" t="s">
        <v>66</v>
      </c>
      <c r="J203" t="s">
        <v>12</v>
      </c>
      <c r="K203" t="s">
        <v>72</v>
      </c>
      <c r="L203" t="s">
        <v>74</v>
      </c>
      <c r="M203">
        <v>1</v>
      </c>
      <c r="N203"/>
      <c r="O203"/>
      <c r="P203" s="17">
        <f>Table11[[#This Row],[Gain/Loss]]</f>
        <v>-3</v>
      </c>
      <c r="Q203" s="17">
        <f>IF(Table11[[#This Row],[Direction]]="L",0.5,IF(Table11[[#This Row],[Direction]]="M",1.5,2.5))</f>
        <v>0.5</v>
      </c>
      <c r="R203" s="17" t="str">
        <f>IF(Table11[[#This Row],[Direction]]="R","Right",IF(Table11[[#This Row],[Direction]]="L","Left","Middle"))</f>
        <v>Left</v>
      </c>
      <c r="S203" s="17">
        <f>IF(Table11[[#This Row],[Pass Zone]]="S",0.5,IF(Table11[[#This Row],[Pass Zone]]="M",1.5,2.5))</f>
        <v>2.5</v>
      </c>
      <c r="T203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203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203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203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  <c r="Y203"/>
    </row>
    <row r="204" spans="1:25" x14ac:dyDescent="0.25">
      <c r="A204">
        <v>138</v>
      </c>
      <c r="B204">
        <v>2</v>
      </c>
      <c r="C204">
        <v>2</v>
      </c>
      <c r="D204">
        <v>13</v>
      </c>
      <c r="E204">
        <v>38</v>
      </c>
      <c r="F204">
        <v>4</v>
      </c>
      <c r="G204" t="s">
        <v>66</v>
      </c>
      <c r="J204" t="s">
        <v>12</v>
      </c>
      <c r="K204" t="s">
        <v>66</v>
      </c>
      <c r="L204" t="s">
        <v>74</v>
      </c>
      <c r="M204">
        <v>1</v>
      </c>
      <c r="N204"/>
      <c r="O204"/>
      <c r="P204" s="17">
        <f>Table11[[#This Row],[Gain/Loss]]</f>
        <v>4</v>
      </c>
      <c r="Q204" s="17">
        <f>IF(Table11[[#This Row],[Direction]]="L",0.5,IF(Table11[[#This Row],[Direction]]="M",1.5,2.5))</f>
        <v>2.5</v>
      </c>
      <c r="R204" s="17" t="str">
        <f>IF(Table11[[#This Row],[Direction]]="R","Right",IF(Table11[[#This Row],[Direction]]="L","Left","Middle"))</f>
        <v>Right</v>
      </c>
      <c r="S204" s="17">
        <f>IF(Table11[[#This Row],[Pass Zone]]="S",0.5,IF(Table11[[#This Row],[Pass Zone]]="M",1.5,2.5))</f>
        <v>2.5</v>
      </c>
      <c r="T204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204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204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03:  2nd &amp; 8+</v>
      </c>
      <c r="W204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  <c r="Y204"/>
    </row>
    <row r="205" spans="1:25" x14ac:dyDescent="0.25">
      <c r="A205">
        <v>139</v>
      </c>
      <c r="B205">
        <v>3</v>
      </c>
      <c r="C205">
        <v>3</v>
      </c>
      <c r="D205">
        <v>9</v>
      </c>
      <c r="E205">
        <v>34</v>
      </c>
      <c r="F205">
        <v>0</v>
      </c>
      <c r="G205" t="s">
        <v>66</v>
      </c>
      <c r="J205" t="s">
        <v>13</v>
      </c>
      <c r="K205" t="s">
        <v>72</v>
      </c>
      <c r="L205"/>
      <c r="M205">
        <v>1</v>
      </c>
      <c r="N205">
        <v>0</v>
      </c>
      <c r="O205"/>
      <c r="P205" s="17">
        <f>Table11[[#This Row],[Gain/Loss]]</f>
        <v>0</v>
      </c>
      <c r="Q205" s="17">
        <f>IF(Table11[[#This Row],[Direction]]="L",0.5,IF(Table11[[#This Row],[Direction]]="M",1.5,2.5))</f>
        <v>0.5</v>
      </c>
      <c r="R205" s="17" t="str">
        <f>IF(Table11[[#This Row],[Direction]]="R","Right",IF(Table11[[#This Row],[Direction]]="L","Left","Middle"))</f>
        <v>Left</v>
      </c>
      <c r="S205" s="17">
        <f>IF(Table11[[#This Row],[Pass Zone]]="S",0.5,IF(Table11[[#This Row],[Pass Zone]]="M",1.5,2.5))</f>
        <v>2.5</v>
      </c>
      <c r="T205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205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205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06:  3rd &amp; 8+</v>
      </c>
      <c r="W205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  <c r="Y205"/>
    </row>
    <row r="206" spans="1:25" x14ac:dyDescent="0.25">
      <c r="A206">
        <v>140</v>
      </c>
      <c r="B206">
        <v>4</v>
      </c>
      <c r="C206">
        <v>4</v>
      </c>
      <c r="D206">
        <v>9</v>
      </c>
      <c r="E206">
        <v>34</v>
      </c>
      <c r="F206">
        <v>0</v>
      </c>
      <c r="G206" t="s">
        <v>66</v>
      </c>
      <c r="J206" t="s">
        <v>13</v>
      </c>
      <c r="K206" t="s">
        <v>66</v>
      </c>
      <c r="L206"/>
      <c r="M206">
        <v>1</v>
      </c>
      <c r="N206">
        <v>0</v>
      </c>
      <c r="O206"/>
      <c r="P206" s="17">
        <f>Table11[[#This Row],[Gain/Loss]]</f>
        <v>0</v>
      </c>
      <c r="Q206" s="17">
        <f>IF(Table11[[#This Row],[Direction]]="L",0.5,IF(Table11[[#This Row],[Direction]]="M",1.5,2.5))</f>
        <v>2.5</v>
      </c>
      <c r="R206" s="17" t="str">
        <f>IF(Table11[[#This Row],[Direction]]="R","Right",IF(Table11[[#This Row],[Direction]]="L","Left","Middle"))</f>
        <v>Right</v>
      </c>
      <c r="S206" s="17">
        <f>IF(Table11[[#This Row],[Pass Zone]]="S",0.5,IF(Table11[[#This Row],[Pass Zone]]="M",1.5,2.5))</f>
        <v>2.5</v>
      </c>
      <c r="T206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206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206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09:  4th &amp; 2+</v>
      </c>
      <c r="W206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  <c r="Y206"/>
    </row>
    <row r="207" spans="1:25" x14ac:dyDescent="0.25">
      <c r="A207">
        <v>155</v>
      </c>
      <c r="B207">
        <v>1</v>
      </c>
      <c r="C207">
        <v>1</v>
      </c>
      <c r="D207">
        <v>15</v>
      </c>
      <c r="E207">
        <v>-44</v>
      </c>
      <c r="F207">
        <v>1</v>
      </c>
      <c r="G207" t="s">
        <v>70</v>
      </c>
      <c r="J207" t="s">
        <v>12</v>
      </c>
      <c r="K207" t="s">
        <v>66</v>
      </c>
      <c r="L207" t="s">
        <v>74</v>
      </c>
      <c r="M207">
        <v>1</v>
      </c>
      <c r="N207"/>
      <c r="O207"/>
      <c r="P207" s="17">
        <f>Table11[[#This Row],[Gain/Loss]]</f>
        <v>1</v>
      </c>
      <c r="Q207" s="17">
        <f>IF(Table11[[#This Row],[Direction]]="L",0.5,IF(Table11[[#This Row],[Direction]]="M",1.5,2.5))</f>
        <v>2.5</v>
      </c>
      <c r="R207" s="17" t="str">
        <f>IF(Table11[[#This Row],[Direction]]="R","Right",IF(Table11[[#This Row],[Direction]]="L","Left","Middle"))</f>
        <v>Right</v>
      </c>
      <c r="S207" s="17">
        <f>IF(Table11[[#This Row],[Pass Zone]]="S",0.5,IF(Table11[[#This Row],[Pass Zone]]="M",1.5,2.5))</f>
        <v>2.5</v>
      </c>
      <c r="T207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207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207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207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  <c r="Y207"/>
    </row>
    <row r="208" spans="1:25" x14ac:dyDescent="0.25">
      <c r="A208">
        <v>156</v>
      </c>
      <c r="B208">
        <v>2</v>
      </c>
      <c r="C208">
        <v>2</v>
      </c>
      <c r="D208">
        <v>14</v>
      </c>
      <c r="E208">
        <v>-45</v>
      </c>
      <c r="F208">
        <v>20</v>
      </c>
      <c r="G208" t="s">
        <v>66</v>
      </c>
      <c r="J208" t="s">
        <v>12</v>
      </c>
      <c r="K208" t="s">
        <v>72</v>
      </c>
      <c r="L208" t="s">
        <v>75</v>
      </c>
      <c r="M208">
        <v>1</v>
      </c>
      <c r="N208"/>
      <c r="O208"/>
      <c r="P208" s="17">
        <f>Table11[[#This Row],[Gain/Loss]]</f>
        <v>20</v>
      </c>
      <c r="Q208" s="17">
        <f>IF(Table11[[#This Row],[Direction]]="L",0.5,IF(Table11[[#This Row],[Direction]]="M",1.5,2.5))</f>
        <v>0.5</v>
      </c>
      <c r="R208" s="17" t="str">
        <f>IF(Table11[[#This Row],[Direction]]="R","Right",IF(Table11[[#This Row],[Direction]]="L","Left","Middle"))</f>
        <v>Left</v>
      </c>
      <c r="S208" s="17">
        <f>IF(Table11[[#This Row],[Pass Zone]]="S",0.5,IF(Table11[[#This Row],[Pass Zone]]="M",1.5,2.5))</f>
        <v>2.5</v>
      </c>
      <c r="T208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208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208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03:  2nd &amp; 8+</v>
      </c>
      <c r="W208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  <c r="Y208"/>
    </row>
    <row r="209" spans="1:25" x14ac:dyDescent="0.25">
      <c r="A209">
        <v>158</v>
      </c>
      <c r="B209">
        <v>1</v>
      </c>
      <c r="C209">
        <v>1</v>
      </c>
      <c r="D209">
        <v>10</v>
      </c>
      <c r="E209">
        <v>35</v>
      </c>
      <c r="F209">
        <v>-9</v>
      </c>
      <c r="G209" t="s">
        <v>72</v>
      </c>
      <c r="J209" t="s">
        <v>12</v>
      </c>
      <c r="K209" t="s">
        <v>66</v>
      </c>
      <c r="L209" t="s">
        <v>74</v>
      </c>
      <c r="M209">
        <v>1</v>
      </c>
      <c r="N209"/>
      <c r="O209"/>
      <c r="P209" s="17">
        <f>Table11[[#This Row],[Gain/Loss]]</f>
        <v>-9</v>
      </c>
      <c r="Q209" s="17">
        <f>IF(Table11[[#This Row],[Direction]]="L",0.5,IF(Table11[[#This Row],[Direction]]="M",1.5,2.5))</f>
        <v>2.5</v>
      </c>
      <c r="R209" s="17" t="str">
        <f>IF(Table11[[#This Row],[Direction]]="R","Right",IF(Table11[[#This Row],[Direction]]="L","Left","Middle"))</f>
        <v>Right</v>
      </c>
      <c r="S209" s="17">
        <f>IF(Table11[[#This Row],[Pass Zone]]="S",0.5,IF(Table11[[#This Row],[Pass Zone]]="M",1.5,2.5))</f>
        <v>2.5</v>
      </c>
      <c r="T209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209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209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209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  <c r="Y209"/>
    </row>
    <row r="210" spans="1:25" x14ac:dyDescent="0.25">
      <c r="A210">
        <v>160</v>
      </c>
      <c r="B210">
        <v>2</v>
      </c>
      <c r="C210">
        <v>2</v>
      </c>
      <c r="D210">
        <v>19</v>
      </c>
      <c r="E210">
        <v>44</v>
      </c>
      <c r="F210">
        <v>44</v>
      </c>
      <c r="G210" t="s">
        <v>70</v>
      </c>
      <c r="J210" t="s">
        <v>13</v>
      </c>
      <c r="K210" t="s">
        <v>66</v>
      </c>
      <c r="L210"/>
      <c r="M210">
        <v>1</v>
      </c>
      <c r="N210">
        <v>1</v>
      </c>
      <c r="O210" t="s">
        <v>71</v>
      </c>
      <c r="P210" s="17">
        <f>Table11[[#This Row],[Gain/Loss]]</f>
        <v>44</v>
      </c>
      <c r="Q210" s="17">
        <f>IF(Table11[[#This Row],[Direction]]="L",0.5,IF(Table11[[#This Row],[Direction]]="M",1.5,2.5))</f>
        <v>2.5</v>
      </c>
      <c r="R210" s="17" t="str">
        <f>IF(Table11[[#This Row],[Direction]]="R","Right",IF(Table11[[#This Row],[Direction]]="L","Left","Middle"))</f>
        <v>Right</v>
      </c>
      <c r="S210" s="17">
        <f>IF(Table11[[#This Row],[Pass Zone]]="S",0.5,IF(Table11[[#This Row],[Pass Zone]]="M",1.5,2.5))</f>
        <v>2.5</v>
      </c>
      <c r="T210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210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210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03:  2nd &amp; 8+</v>
      </c>
      <c r="W210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  <c r="Y210"/>
    </row>
    <row r="211" spans="1:25" x14ac:dyDescent="0.25">
      <c r="A211">
        <v>3</v>
      </c>
      <c r="B211">
        <v>1</v>
      </c>
      <c r="C211">
        <v>1</v>
      </c>
      <c r="D211">
        <v>15</v>
      </c>
      <c r="E211">
        <v>-10</v>
      </c>
      <c r="F211">
        <v>0</v>
      </c>
      <c r="G211" t="s">
        <v>70</v>
      </c>
      <c r="J211" t="s">
        <v>13</v>
      </c>
      <c r="K211" t="s">
        <v>66</v>
      </c>
      <c r="L211"/>
      <c r="M211">
        <v>1</v>
      </c>
      <c r="N211">
        <v>0</v>
      </c>
      <c r="O211"/>
      <c r="P211" s="17">
        <f>Table11[[#This Row],[Gain/Loss]]</f>
        <v>0</v>
      </c>
      <c r="Q211" s="17">
        <f>IF(Table11[[#This Row],[Direction]]="L",0.5,IF(Table11[[#This Row],[Direction]]="M",1.5,2.5))</f>
        <v>2.5</v>
      </c>
      <c r="R211" s="17" t="str">
        <f>IF(Table11[[#This Row],[Direction]]="R","Right",IF(Table11[[#This Row],[Direction]]="L","Left","Middle"))</f>
        <v>Right</v>
      </c>
      <c r="S211" s="17">
        <f>IF(Table11[[#This Row],[Pass Zone]]="S",0.5,IF(Table11[[#This Row],[Pass Zone]]="M",1.5,2.5))</f>
        <v>2.5</v>
      </c>
      <c r="T211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211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211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211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0-20</v>
      </c>
      <c r="Y211"/>
    </row>
    <row r="212" spans="1:25" x14ac:dyDescent="0.25">
      <c r="A212">
        <v>10</v>
      </c>
      <c r="B212">
        <v>1</v>
      </c>
      <c r="C212">
        <v>1</v>
      </c>
      <c r="D212">
        <v>10</v>
      </c>
      <c r="E212">
        <v>-5</v>
      </c>
      <c r="F212">
        <v>1</v>
      </c>
      <c r="G212" t="s">
        <v>70</v>
      </c>
      <c r="J212" t="s">
        <v>12</v>
      </c>
      <c r="K212" t="s">
        <v>66</v>
      </c>
      <c r="L212" t="s">
        <v>74</v>
      </c>
      <c r="M212">
        <v>1</v>
      </c>
      <c r="N212"/>
      <c r="O212"/>
      <c r="P212" s="17">
        <f>Table11[[#This Row],[Gain/Loss]]</f>
        <v>1</v>
      </c>
      <c r="Q212" s="17">
        <f>IF(Table11[[#This Row],[Direction]]="L",0.5,IF(Table11[[#This Row],[Direction]]="M",1.5,2.5))</f>
        <v>2.5</v>
      </c>
      <c r="R212" s="17" t="str">
        <f>IF(Table11[[#This Row],[Direction]]="R","Right",IF(Table11[[#This Row],[Direction]]="L","Left","Middle"))</f>
        <v>Right</v>
      </c>
      <c r="S212" s="17">
        <f>IF(Table11[[#This Row],[Pass Zone]]="S",0.5,IF(Table11[[#This Row],[Pass Zone]]="M",1.5,2.5))</f>
        <v>2.5</v>
      </c>
      <c r="T212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212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212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212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0-20</v>
      </c>
      <c r="Y212"/>
    </row>
    <row r="213" spans="1:25" x14ac:dyDescent="0.25">
      <c r="A213">
        <v>11</v>
      </c>
      <c r="B213">
        <v>2</v>
      </c>
      <c r="C213">
        <v>2</v>
      </c>
      <c r="D213">
        <v>9</v>
      </c>
      <c r="E213">
        <v>-6</v>
      </c>
      <c r="F213">
        <v>9</v>
      </c>
      <c r="G213" t="s">
        <v>70</v>
      </c>
      <c r="J213" t="s">
        <v>12</v>
      </c>
      <c r="K213" t="s">
        <v>66</v>
      </c>
      <c r="L213" t="s">
        <v>74</v>
      </c>
      <c r="M213">
        <v>1</v>
      </c>
      <c r="N213"/>
      <c r="O213"/>
      <c r="P213" s="17">
        <f>Table11[[#This Row],[Gain/Loss]]</f>
        <v>9</v>
      </c>
      <c r="Q213" s="17">
        <f>IF(Table11[[#This Row],[Direction]]="L",0.5,IF(Table11[[#This Row],[Direction]]="M",1.5,2.5))</f>
        <v>2.5</v>
      </c>
      <c r="R213" s="17" t="str">
        <f>IF(Table11[[#This Row],[Direction]]="R","Right",IF(Table11[[#This Row],[Direction]]="L","Left","Middle"))</f>
        <v>Right</v>
      </c>
      <c r="S213" s="17">
        <f>IF(Table11[[#This Row],[Pass Zone]]="S",0.5,IF(Table11[[#This Row],[Pass Zone]]="M",1.5,2.5))</f>
        <v>2.5</v>
      </c>
      <c r="T213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213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213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03:  2nd &amp; 8+</v>
      </c>
      <c r="W213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0-20</v>
      </c>
      <c r="Y213"/>
    </row>
    <row r="214" spans="1:25" x14ac:dyDescent="0.25">
      <c r="A214">
        <v>12</v>
      </c>
      <c r="B214">
        <v>1</v>
      </c>
      <c r="C214">
        <v>1</v>
      </c>
      <c r="D214">
        <v>10</v>
      </c>
      <c r="E214">
        <v>-15</v>
      </c>
      <c r="F214">
        <v>4</v>
      </c>
      <c r="G214" t="s">
        <v>66</v>
      </c>
      <c r="J214" t="s">
        <v>12</v>
      </c>
      <c r="K214" t="s">
        <v>66</v>
      </c>
      <c r="L214" t="s">
        <v>74</v>
      </c>
      <c r="M214">
        <v>1</v>
      </c>
      <c r="N214"/>
      <c r="O214"/>
      <c r="P214" s="17">
        <f>Table11[[#This Row],[Gain/Loss]]</f>
        <v>4</v>
      </c>
      <c r="Q214" s="17">
        <f>IF(Table11[[#This Row],[Direction]]="L",0.5,IF(Table11[[#This Row],[Direction]]="M",1.5,2.5))</f>
        <v>2.5</v>
      </c>
      <c r="R214" s="17" t="str">
        <f>IF(Table11[[#This Row],[Direction]]="R","Right",IF(Table11[[#This Row],[Direction]]="L","Left","Middle"))</f>
        <v>Right</v>
      </c>
      <c r="S214" s="17">
        <f>IF(Table11[[#This Row],[Pass Zone]]="S",0.5,IF(Table11[[#This Row],[Pass Zone]]="M",1.5,2.5))</f>
        <v>2.5</v>
      </c>
      <c r="T214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214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214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01:  1st &amp; 10+</v>
      </c>
      <c r="W214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0-20</v>
      </c>
      <c r="Y214"/>
    </row>
    <row r="215" spans="1:25" x14ac:dyDescent="0.25">
      <c r="A215">
        <v>14</v>
      </c>
      <c r="B215">
        <v>2</v>
      </c>
      <c r="C215">
        <v>2</v>
      </c>
      <c r="D215">
        <v>10</v>
      </c>
      <c r="E215">
        <v>-44</v>
      </c>
      <c r="F215">
        <v>1</v>
      </c>
      <c r="G215" t="s">
        <v>66</v>
      </c>
      <c r="J215" t="s">
        <v>12</v>
      </c>
      <c r="K215" t="s">
        <v>66</v>
      </c>
      <c r="L215" t="s">
        <v>74</v>
      </c>
      <c r="M215">
        <v>1</v>
      </c>
      <c r="N215"/>
      <c r="O215"/>
      <c r="P215" s="17">
        <f>Table11[[#This Row],[Gain/Loss]]</f>
        <v>1</v>
      </c>
      <c r="Q215" s="17">
        <f>IF(Table11[[#This Row],[Direction]]="L",0.5,IF(Table11[[#This Row],[Direction]]="M",1.5,2.5))</f>
        <v>2.5</v>
      </c>
      <c r="R215" s="17" t="str">
        <f>IF(Table11[[#This Row],[Direction]]="R","Right",IF(Table11[[#This Row],[Direction]]="L","Left","Middle"))</f>
        <v>Right</v>
      </c>
      <c r="S215" s="17">
        <f>IF(Table11[[#This Row],[Pass Zone]]="S",0.5,IF(Table11[[#This Row],[Pass Zone]]="M",1.5,2.5))</f>
        <v>2.5</v>
      </c>
      <c r="T215" s="17" t="str">
        <f>IF(AND(Table11[[#This Row],[Direction]]="R",Table11[[#This Row],[Strength]]="R"),"Strong",IF(AND(Table11[[#This Row],[Direction]]="L",Table11[[#This Row],[Strength]]="L"),"Strong",IF(AND(Table11[[#This Row],[Direction]]="R",Table11[[#This Row],[Strength]]="L"),"Weak",IF(AND(Table11[[#This Row],[Direction]]="L",Table11[[#This Row],[Strength]]="R"),"Weak",IF(AND(Table11[[#This Row],[Strength]]="BAL",Table11[[#This Row],[Direction]]="M"),"BAL","")))))</f>
        <v/>
      </c>
      <c r="U215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215" s="17" t="str">
        <f>IF(AND(Table11[[#This Row],[Down]]=1,Table11[[#This Row],[Distance]]&gt;9),"01:  1st &amp; 10+",IF(AND(Table11[[#This Row],[Down]]=1,Table11[[#This Row],[Distance]]&lt;10),"02:  1st &amp; &lt; 10",IF(AND(Table11[[#This Row],[Down]]=2,Table11[[#This Row],[Distance]]&gt;7),"03:  2nd &amp; 8+",IF(AND(Table11[[#This Row],[Down]]=2,Table11[[#This Row],[Distance]]&gt;3,Table11[[#This Row],[Distance]]&lt;8),"04:  2nd &amp; 4 - 7",IF(AND(Table11[[#This Row],[Down]]=2,Table11[[#This Row],[Distance]]&lt;4),"05:  2nd &amp; &lt; 4",IF(AND(Table11[[#This Row],[Down]]=3,Table11[[#This Row],[Distance]]&gt;7),"06:  3rd &amp; 8+",IF(AND(Table11[[#This Row],[Down]]=3,Table11[[#This Row],[Distance]]&gt;3,Table11[[#This Row],[Distance]]&lt;8),"07:  3rd &amp; 4 - 7",IF(AND(Table11[[#This Row],[Down]]=3,Table11[[#This Row],[Distance]]&lt;4),"08:  3rd &amp; &lt; 4",IF(AND(Table11[[#This Row],[Down]]=4,Table11[[#This Row],[Distance]]&gt;1),"09:  4th &amp; 2+",IF(AND(Table11[[#This Row],[Down]]=4,Table11[[#This Row],[Distance]]&lt;2),"10:  4th &amp; &lt; 2"," "))))))))))</f>
        <v>03:  2nd &amp; 8+</v>
      </c>
      <c r="W215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  <c r="Y215"/>
    </row>
    <row r="216" spans="1:25" x14ac:dyDescent="0.25">
      <c r="A216">
        <v>16</v>
      </c>
      <c r="B216">
        <v>2</v>
      </c>
      <c r="C216">
        <v>2</v>
      </c>
      <c r="D216">
        <v>14</v>
      </c>
      <c r="E216">
        <v>-40</v>
      </c>
      <c r="F216">
        <v>6</v>
      </c>
      <c r="G216" t="s">
        <v>66</v>
      </c>
      <c r="J216" t="s">
        <v>12</v>
      </c>
      <c r="K216" t="s">
        <v>66</v>
      </c>
      <c r="L216" t="s">
        <v>74</v>
      </c>
      <c r="M216">
        <v>1</v>
      </c>
      <c r="N216"/>
      <c r="O216"/>
      <c r="P216" s="17">
        <f>Table11[[#This Row],[Gain/Loss]]</f>
        <v>6</v>
      </c>
      <c r="Q216" s="17">
        <f>IF(Table11[[#This Row],[Direction]]="L",0.5,IF(Table11[[#This Row],[Direction]]="M",1.5,2.5))</f>
        <v>2.5</v>
      </c>
      <c r="R216" s="17" t="str">
        <f>IF(Table11[[#This Row],[Direction]]="R","Right",IF(Table11[[#This Row],[Direction]]="L","Left","Middle"))</f>
        <v>Right</v>
      </c>
      <c r="S216" s="17">
        <f>IF(Table11[[#This Row],[Pass Zone]]="S",0.5,IF(Table11[[#This Row],[Pass Zone]]="M",1.5,2.5))</f>
        <v>2.5</v>
      </c>
      <c r="T216" s="139"/>
      <c r="U216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216" s="139"/>
      <c r="W216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217" spans="1:25" x14ac:dyDescent="0.25">
      <c r="A217">
        <v>18</v>
      </c>
      <c r="B217">
        <v>1</v>
      </c>
      <c r="C217">
        <v>1</v>
      </c>
      <c r="D217">
        <v>10</v>
      </c>
      <c r="E217">
        <v>44</v>
      </c>
      <c r="F217">
        <v>-3</v>
      </c>
      <c r="G217" t="s">
        <v>66</v>
      </c>
      <c r="J217" t="s">
        <v>12</v>
      </c>
      <c r="K217" t="s">
        <v>72</v>
      </c>
      <c r="L217" t="s">
        <v>74</v>
      </c>
      <c r="M217">
        <v>1</v>
      </c>
      <c r="N217"/>
      <c r="O217"/>
      <c r="P217" s="17">
        <f>Table11[[#This Row],[Gain/Loss]]</f>
        <v>-3</v>
      </c>
      <c r="Q217" s="17">
        <f>IF(Table11[[#This Row],[Direction]]="L",0.5,IF(Table11[[#This Row],[Direction]]="M",1.5,2.5))</f>
        <v>0.5</v>
      </c>
      <c r="R217" s="17" t="str">
        <f>IF(Table11[[#This Row],[Direction]]="R","Right",IF(Table11[[#This Row],[Direction]]="L","Left","Middle"))</f>
        <v>Left</v>
      </c>
      <c r="S217" s="17">
        <f>IF(Table11[[#This Row],[Pass Zone]]="S",0.5,IF(Table11[[#This Row],[Pass Zone]]="M",1.5,2.5))</f>
        <v>2.5</v>
      </c>
      <c r="T217" s="139"/>
      <c r="U217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217" s="139"/>
      <c r="W217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</row>
    <row r="218" spans="1:25" x14ac:dyDescent="0.25">
      <c r="A218">
        <v>19</v>
      </c>
      <c r="B218">
        <v>2</v>
      </c>
      <c r="C218">
        <v>2</v>
      </c>
      <c r="D218">
        <v>13</v>
      </c>
      <c r="E218">
        <v>47</v>
      </c>
      <c r="F218">
        <v>-1</v>
      </c>
      <c r="G218" t="s">
        <v>70</v>
      </c>
      <c r="J218" t="s">
        <v>12</v>
      </c>
      <c r="K218" t="s">
        <v>66</v>
      </c>
      <c r="L218" t="s">
        <v>74</v>
      </c>
      <c r="M218">
        <v>1</v>
      </c>
      <c r="N218"/>
      <c r="O218"/>
      <c r="P218" s="17">
        <f>Table11[[#This Row],[Gain/Loss]]</f>
        <v>-1</v>
      </c>
      <c r="Q218" s="17">
        <f>IF(Table11[[#This Row],[Direction]]="L",0.5,IF(Table11[[#This Row],[Direction]]="M",1.5,2.5))</f>
        <v>2.5</v>
      </c>
      <c r="R218" s="17" t="str">
        <f>IF(Table11[[#This Row],[Direction]]="R","Right",IF(Table11[[#This Row],[Direction]]="L","Left","Middle"))</f>
        <v>Right</v>
      </c>
      <c r="S218" s="17">
        <f>IF(Table11[[#This Row],[Pass Zone]]="S",0.5,IF(Table11[[#This Row],[Pass Zone]]="M",1.5,2.5))</f>
        <v>2.5</v>
      </c>
      <c r="T218" s="139"/>
      <c r="U218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218" s="139"/>
      <c r="W218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</row>
    <row r="219" spans="1:25" x14ac:dyDescent="0.25">
      <c r="A219">
        <v>20</v>
      </c>
      <c r="B219">
        <v>3</v>
      </c>
      <c r="C219">
        <v>3</v>
      </c>
      <c r="D219">
        <v>14</v>
      </c>
      <c r="E219">
        <v>48</v>
      </c>
      <c r="F219">
        <v>0</v>
      </c>
      <c r="G219" t="s">
        <v>70</v>
      </c>
      <c r="J219" t="s">
        <v>13</v>
      </c>
      <c r="K219" t="s">
        <v>66</v>
      </c>
      <c r="L219"/>
      <c r="M219">
        <v>1</v>
      </c>
      <c r="N219">
        <v>0</v>
      </c>
      <c r="O219"/>
      <c r="P219" s="17">
        <f>Table11[[#This Row],[Gain/Loss]]</f>
        <v>0</v>
      </c>
      <c r="Q219" s="17">
        <f>IF(Table11[[#This Row],[Direction]]="L",0.5,IF(Table11[[#This Row],[Direction]]="M",1.5,2.5))</f>
        <v>2.5</v>
      </c>
      <c r="R219" s="17" t="str">
        <f>IF(Table11[[#This Row],[Direction]]="R","Right",IF(Table11[[#This Row],[Direction]]="L","Left","Middle"))</f>
        <v>Right</v>
      </c>
      <c r="S219" s="17">
        <f>IF(Table11[[#This Row],[Pass Zone]]="S",0.5,IF(Table11[[#This Row],[Pass Zone]]="M",1.5,2.5))</f>
        <v>2.5</v>
      </c>
      <c r="T219" s="139"/>
      <c r="U219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219" s="139"/>
      <c r="W219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</row>
    <row r="220" spans="1:25" x14ac:dyDescent="0.25">
      <c r="A220">
        <v>38</v>
      </c>
      <c r="B220">
        <v>1</v>
      </c>
      <c r="C220">
        <v>1</v>
      </c>
      <c r="D220">
        <v>10</v>
      </c>
      <c r="E220">
        <v>-21</v>
      </c>
      <c r="F220">
        <v>11</v>
      </c>
      <c r="G220" t="s">
        <v>70</v>
      </c>
      <c r="J220" t="s">
        <v>12</v>
      </c>
      <c r="K220" t="s">
        <v>66</v>
      </c>
      <c r="L220" t="s">
        <v>74</v>
      </c>
      <c r="M220">
        <v>1</v>
      </c>
      <c r="N220"/>
      <c r="O220"/>
      <c r="P220" s="17">
        <f>Table11[[#This Row],[Gain/Loss]]</f>
        <v>11</v>
      </c>
      <c r="Q220" s="17">
        <f>IF(Table11[[#This Row],[Direction]]="L",0.5,IF(Table11[[#This Row],[Direction]]="M",1.5,2.5))</f>
        <v>2.5</v>
      </c>
      <c r="R220" s="17" t="str">
        <f>IF(Table11[[#This Row],[Direction]]="R","Right",IF(Table11[[#This Row],[Direction]]="L","Left","Middle"))</f>
        <v>Right</v>
      </c>
      <c r="S220" s="17">
        <f>IF(Table11[[#This Row],[Pass Zone]]="S",0.5,IF(Table11[[#This Row],[Pass Zone]]="M",1.5,2.5))</f>
        <v>2.5</v>
      </c>
      <c r="T220" s="139"/>
      <c r="U220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220" s="139"/>
      <c r="W220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221" spans="1:25" x14ac:dyDescent="0.25">
      <c r="A221">
        <v>40</v>
      </c>
      <c r="B221">
        <v>1</v>
      </c>
      <c r="C221">
        <v>1</v>
      </c>
      <c r="D221">
        <v>15</v>
      </c>
      <c r="E221">
        <v>-27</v>
      </c>
      <c r="F221">
        <v>5</v>
      </c>
      <c r="G221" t="s">
        <v>66</v>
      </c>
      <c r="J221" t="s">
        <v>12</v>
      </c>
      <c r="K221" t="s">
        <v>72</v>
      </c>
      <c r="L221" t="s">
        <v>74</v>
      </c>
      <c r="M221">
        <v>1</v>
      </c>
      <c r="N221"/>
      <c r="O221"/>
      <c r="P221" s="17">
        <f>Table11[[#This Row],[Gain/Loss]]</f>
        <v>5</v>
      </c>
      <c r="Q221" s="17">
        <f>IF(Table11[[#This Row],[Direction]]="L",0.5,IF(Table11[[#This Row],[Direction]]="M",1.5,2.5))</f>
        <v>0.5</v>
      </c>
      <c r="R221" s="17" t="str">
        <f>IF(Table11[[#This Row],[Direction]]="R","Right",IF(Table11[[#This Row],[Direction]]="L","Left","Middle"))</f>
        <v>Left</v>
      </c>
      <c r="S221" s="17">
        <f>IF(Table11[[#This Row],[Pass Zone]]="S",0.5,IF(Table11[[#This Row],[Pass Zone]]="M",1.5,2.5))</f>
        <v>2.5</v>
      </c>
      <c r="T221" s="139"/>
      <c r="U221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221" s="139"/>
      <c r="W221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222" spans="1:25" x14ac:dyDescent="0.25">
      <c r="A222">
        <v>41</v>
      </c>
      <c r="B222">
        <v>2</v>
      </c>
      <c r="C222">
        <v>2</v>
      </c>
      <c r="D222">
        <v>10</v>
      </c>
      <c r="E222">
        <v>-32</v>
      </c>
      <c r="F222">
        <v>3</v>
      </c>
      <c r="G222" t="s">
        <v>70</v>
      </c>
      <c r="J222" t="s">
        <v>12</v>
      </c>
      <c r="K222" t="s">
        <v>72</v>
      </c>
      <c r="L222" t="s">
        <v>74</v>
      </c>
      <c r="M222">
        <v>1</v>
      </c>
      <c r="N222"/>
      <c r="O222"/>
      <c r="P222" s="17">
        <f>Table11[[#This Row],[Gain/Loss]]</f>
        <v>3</v>
      </c>
      <c r="Q222" s="17">
        <f>IF(Table11[[#This Row],[Direction]]="L",0.5,IF(Table11[[#This Row],[Direction]]="M",1.5,2.5))</f>
        <v>0.5</v>
      </c>
      <c r="R222" s="17" t="str">
        <f>IF(Table11[[#This Row],[Direction]]="R","Right",IF(Table11[[#This Row],[Direction]]="L","Left","Middle"))</f>
        <v>Left</v>
      </c>
      <c r="S222" s="17">
        <f>IF(Table11[[#This Row],[Pass Zone]]="S",0.5,IF(Table11[[#This Row],[Pass Zone]]="M",1.5,2.5))</f>
        <v>2.5</v>
      </c>
      <c r="T222" s="139"/>
      <c r="U222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222" s="139"/>
      <c r="W222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223" spans="1:25" x14ac:dyDescent="0.25">
      <c r="A223">
        <v>43</v>
      </c>
      <c r="B223">
        <v>2</v>
      </c>
      <c r="C223">
        <v>2</v>
      </c>
      <c r="D223">
        <v>7</v>
      </c>
      <c r="E223">
        <v>-35</v>
      </c>
      <c r="F223">
        <v>65</v>
      </c>
      <c r="G223" t="s">
        <v>70</v>
      </c>
      <c r="J223" t="s">
        <v>12</v>
      </c>
      <c r="K223" t="s">
        <v>72</v>
      </c>
      <c r="L223" t="s">
        <v>74</v>
      </c>
      <c r="M223">
        <v>1</v>
      </c>
      <c r="N223"/>
      <c r="O223"/>
      <c r="P223" s="17">
        <f>Table11[[#This Row],[Gain/Loss]]</f>
        <v>65</v>
      </c>
      <c r="Q223" s="17">
        <f>IF(Table11[[#This Row],[Direction]]="L",0.5,IF(Table11[[#This Row],[Direction]]="M",1.5,2.5))</f>
        <v>0.5</v>
      </c>
      <c r="R223" s="17" t="str">
        <f>IF(Table11[[#This Row],[Direction]]="R","Right",IF(Table11[[#This Row],[Direction]]="L","Left","Middle"))</f>
        <v>Left</v>
      </c>
      <c r="S223" s="17">
        <f>IF(Table11[[#This Row],[Pass Zone]]="S",0.5,IF(Table11[[#This Row],[Pass Zone]]="M",1.5,2.5))</f>
        <v>2.5</v>
      </c>
      <c r="T223" s="139"/>
      <c r="U223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223" s="139"/>
      <c r="W223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224" spans="1:25" x14ac:dyDescent="0.25">
      <c r="A224">
        <v>59</v>
      </c>
      <c r="B224">
        <v>1</v>
      </c>
      <c r="C224">
        <v>1</v>
      </c>
      <c r="D224">
        <v>21</v>
      </c>
      <c r="E224">
        <v>-31</v>
      </c>
      <c r="F224">
        <v>8</v>
      </c>
      <c r="G224" t="s">
        <v>72</v>
      </c>
      <c r="J224" t="s">
        <v>13</v>
      </c>
      <c r="K224" t="s">
        <v>66</v>
      </c>
      <c r="L224"/>
      <c r="M224">
        <v>1</v>
      </c>
      <c r="N224">
        <v>1</v>
      </c>
      <c r="O224" t="s">
        <v>70</v>
      </c>
      <c r="P224" s="17">
        <f>Table11[[#This Row],[Gain/Loss]]</f>
        <v>8</v>
      </c>
      <c r="Q224" s="17">
        <f>IF(Table11[[#This Row],[Direction]]="L",0.5,IF(Table11[[#This Row],[Direction]]="M",1.5,2.5))</f>
        <v>2.5</v>
      </c>
      <c r="R224" s="17" t="str">
        <f>IF(Table11[[#This Row],[Direction]]="R","Right",IF(Table11[[#This Row],[Direction]]="L","Left","Middle"))</f>
        <v>Right</v>
      </c>
      <c r="S224" s="17">
        <f>IF(Table11[[#This Row],[Pass Zone]]="S",0.5,IF(Table11[[#This Row],[Pass Zone]]="M",1.5,2.5))</f>
        <v>1.5</v>
      </c>
      <c r="T224" s="139"/>
      <c r="U224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224" s="139"/>
      <c r="W224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225" spans="1:23" x14ac:dyDescent="0.25">
      <c r="A225">
        <v>60</v>
      </c>
      <c r="B225">
        <v>2</v>
      </c>
      <c r="C225">
        <v>2</v>
      </c>
      <c r="D225">
        <v>13</v>
      </c>
      <c r="E225">
        <v>-39</v>
      </c>
      <c r="F225">
        <v>24</v>
      </c>
      <c r="G225" t="s">
        <v>66</v>
      </c>
      <c r="J225" t="s">
        <v>12</v>
      </c>
      <c r="K225" t="s">
        <v>66</v>
      </c>
      <c r="L225" t="s">
        <v>74</v>
      </c>
      <c r="M225">
        <v>1</v>
      </c>
      <c r="N225"/>
      <c r="O225"/>
      <c r="P225" s="17">
        <f>Table11[[#This Row],[Gain/Loss]]</f>
        <v>24</v>
      </c>
      <c r="Q225" s="17">
        <f>IF(Table11[[#This Row],[Direction]]="L",0.5,IF(Table11[[#This Row],[Direction]]="M",1.5,2.5))</f>
        <v>2.5</v>
      </c>
      <c r="R225" s="17" t="str">
        <f>IF(Table11[[#This Row],[Direction]]="R","Right",IF(Table11[[#This Row],[Direction]]="L","Left","Middle"))</f>
        <v>Right</v>
      </c>
      <c r="S225" s="17">
        <f>IF(Table11[[#This Row],[Pass Zone]]="S",0.5,IF(Table11[[#This Row],[Pass Zone]]="M",1.5,2.5))</f>
        <v>2.5</v>
      </c>
      <c r="T225" s="139"/>
      <c r="U225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225" s="139"/>
      <c r="W225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226" spans="1:23" x14ac:dyDescent="0.25">
      <c r="A226">
        <v>61</v>
      </c>
      <c r="B226">
        <v>1</v>
      </c>
      <c r="C226">
        <v>1</v>
      </c>
      <c r="D226">
        <v>10</v>
      </c>
      <c r="E226">
        <v>37</v>
      </c>
      <c r="F226">
        <v>3</v>
      </c>
      <c r="G226" t="s">
        <v>66</v>
      </c>
      <c r="J226" t="s">
        <v>12</v>
      </c>
      <c r="K226" t="s">
        <v>66</v>
      </c>
      <c r="L226" t="s">
        <v>74</v>
      </c>
      <c r="M226">
        <v>1</v>
      </c>
      <c r="N226"/>
      <c r="O226"/>
      <c r="P226" s="17">
        <f>Table11[[#This Row],[Gain/Loss]]</f>
        <v>3</v>
      </c>
      <c r="Q226" s="17">
        <f>IF(Table11[[#This Row],[Direction]]="L",0.5,IF(Table11[[#This Row],[Direction]]="M",1.5,2.5))</f>
        <v>2.5</v>
      </c>
      <c r="R226" s="17" t="str">
        <f>IF(Table11[[#This Row],[Direction]]="R","Right",IF(Table11[[#This Row],[Direction]]="L","Left","Middle"))</f>
        <v>Right</v>
      </c>
      <c r="S226" s="17">
        <f>IF(Table11[[#This Row],[Pass Zone]]="S",0.5,IF(Table11[[#This Row],[Pass Zone]]="M",1.5,2.5))</f>
        <v>2.5</v>
      </c>
      <c r="T226" s="139"/>
      <c r="U226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226" s="139"/>
      <c r="W226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</row>
    <row r="227" spans="1:23" x14ac:dyDescent="0.25">
      <c r="A227">
        <v>62</v>
      </c>
      <c r="B227">
        <v>2</v>
      </c>
      <c r="C227">
        <v>2</v>
      </c>
      <c r="D227">
        <v>7</v>
      </c>
      <c r="E227">
        <v>34</v>
      </c>
      <c r="F227">
        <v>18</v>
      </c>
      <c r="G227" t="s">
        <v>66</v>
      </c>
      <c r="J227" t="s">
        <v>12</v>
      </c>
      <c r="K227" t="s">
        <v>72</v>
      </c>
      <c r="L227" t="s">
        <v>74</v>
      </c>
      <c r="M227">
        <v>1</v>
      </c>
      <c r="N227"/>
      <c r="O227"/>
      <c r="P227" s="17">
        <f>Table11[[#This Row],[Gain/Loss]]</f>
        <v>18</v>
      </c>
      <c r="Q227" s="17">
        <f>IF(Table11[[#This Row],[Direction]]="L",0.5,IF(Table11[[#This Row],[Direction]]="M",1.5,2.5))</f>
        <v>0.5</v>
      </c>
      <c r="R227" s="17" t="str">
        <f>IF(Table11[[#This Row],[Direction]]="R","Right",IF(Table11[[#This Row],[Direction]]="L","Left","Middle"))</f>
        <v>Left</v>
      </c>
      <c r="S227" s="17">
        <f>IF(Table11[[#This Row],[Pass Zone]]="S",0.5,IF(Table11[[#This Row],[Pass Zone]]="M",1.5,2.5))</f>
        <v>2.5</v>
      </c>
      <c r="T227" s="139"/>
      <c r="U227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227" s="139"/>
      <c r="W227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</row>
    <row r="228" spans="1:23" x14ac:dyDescent="0.25">
      <c r="A228">
        <v>63</v>
      </c>
      <c r="B228">
        <v>1</v>
      </c>
      <c r="C228">
        <v>1</v>
      </c>
      <c r="D228">
        <v>10</v>
      </c>
      <c r="E228">
        <v>16</v>
      </c>
      <c r="F228">
        <v>0</v>
      </c>
      <c r="G228" t="s">
        <v>72</v>
      </c>
      <c r="J228" t="s">
        <v>12</v>
      </c>
      <c r="K228" t="s">
        <v>72</v>
      </c>
      <c r="L228" t="s">
        <v>74</v>
      </c>
      <c r="M228">
        <v>1</v>
      </c>
      <c r="N228"/>
      <c r="O228"/>
      <c r="P228" s="17">
        <f>Table11[[#This Row],[Gain/Loss]]</f>
        <v>0</v>
      </c>
      <c r="Q228" s="17">
        <f>IF(Table11[[#This Row],[Direction]]="L",0.5,IF(Table11[[#This Row],[Direction]]="M",1.5,2.5))</f>
        <v>0.5</v>
      </c>
      <c r="R228" s="17" t="str">
        <f>IF(Table11[[#This Row],[Direction]]="R","Right",IF(Table11[[#This Row],[Direction]]="L","Left","Middle"))</f>
        <v>Left</v>
      </c>
      <c r="S228" s="17">
        <f>IF(Table11[[#This Row],[Pass Zone]]="S",0.5,IF(Table11[[#This Row],[Pass Zone]]="M",1.5,2.5))</f>
        <v>2.5</v>
      </c>
      <c r="T228" s="139"/>
      <c r="U228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228" s="139"/>
      <c r="W228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Red Zone</v>
      </c>
    </row>
    <row r="229" spans="1:23" x14ac:dyDescent="0.25">
      <c r="A229">
        <v>64</v>
      </c>
      <c r="B229">
        <v>2</v>
      </c>
      <c r="C229">
        <v>2</v>
      </c>
      <c r="D229">
        <v>10</v>
      </c>
      <c r="E229">
        <v>16</v>
      </c>
      <c r="F229">
        <v>11</v>
      </c>
      <c r="G229" t="s">
        <v>72</v>
      </c>
      <c r="J229" t="s">
        <v>12</v>
      </c>
      <c r="K229" t="s">
        <v>72</v>
      </c>
      <c r="L229" t="s">
        <v>74</v>
      </c>
      <c r="M229">
        <v>1</v>
      </c>
      <c r="N229"/>
      <c r="O229"/>
      <c r="P229" s="17">
        <f>Table11[[#This Row],[Gain/Loss]]</f>
        <v>11</v>
      </c>
      <c r="Q229" s="17">
        <f>IF(Table11[[#This Row],[Direction]]="L",0.5,IF(Table11[[#This Row],[Direction]]="M",1.5,2.5))</f>
        <v>0.5</v>
      </c>
      <c r="R229" s="17" t="str">
        <f>IF(Table11[[#This Row],[Direction]]="R","Right",IF(Table11[[#This Row],[Direction]]="L","Left","Middle"))</f>
        <v>Left</v>
      </c>
      <c r="S229" s="17">
        <f>IF(Table11[[#This Row],[Pass Zone]]="S",0.5,IF(Table11[[#This Row],[Pass Zone]]="M",1.5,2.5))</f>
        <v>2.5</v>
      </c>
      <c r="T229" s="139"/>
      <c r="U229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229" s="139"/>
      <c r="W229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Red Zone</v>
      </c>
    </row>
    <row r="230" spans="1:23" x14ac:dyDescent="0.25">
      <c r="A230">
        <v>65</v>
      </c>
      <c r="B230">
        <v>1</v>
      </c>
      <c r="C230">
        <v>1</v>
      </c>
      <c r="D230">
        <v>5</v>
      </c>
      <c r="E230">
        <v>5</v>
      </c>
      <c r="F230">
        <v>-1</v>
      </c>
      <c r="G230" t="s">
        <v>72</v>
      </c>
      <c r="J230" t="s">
        <v>12</v>
      </c>
      <c r="K230" t="s">
        <v>66</v>
      </c>
      <c r="L230" t="s">
        <v>74</v>
      </c>
      <c r="M230">
        <v>1</v>
      </c>
      <c r="N230"/>
      <c r="O230"/>
      <c r="P230" s="17">
        <f>Table11[[#This Row],[Gain/Loss]]</f>
        <v>-1</v>
      </c>
      <c r="Q230" s="17">
        <f>IF(Table11[[#This Row],[Direction]]="L",0.5,IF(Table11[[#This Row],[Direction]]="M",1.5,2.5))</f>
        <v>2.5</v>
      </c>
      <c r="R230" s="17" t="str">
        <f>IF(Table11[[#This Row],[Direction]]="R","Right",IF(Table11[[#This Row],[Direction]]="L","Left","Middle"))</f>
        <v>Right</v>
      </c>
      <c r="S230" s="17">
        <f>IF(Table11[[#This Row],[Pass Zone]]="S",0.5,IF(Table11[[#This Row],[Pass Zone]]="M",1.5,2.5))</f>
        <v>2.5</v>
      </c>
      <c r="T230" s="139"/>
      <c r="U230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230" s="139"/>
      <c r="W230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Red Zone</v>
      </c>
    </row>
    <row r="231" spans="1:23" x14ac:dyDescent="0.25">
      <c r="A231">
        <v>66</v>
      </c>
      <c r="B231">
        <v>2</v>
      </c>
      <c r="C231">
        <v>2</v>
      </c>
      <c r="D231">
        <v>6</v>
      </c>
      <c r="E231">
        <v>6</v>
      </c>
      <c r="F231">
        <v>0</v>
      </c>
      <c r="G231" t="s">
        <v>70</v>
      </c>
      <c r="J231" t="s">
        <v>13</v>
      </c>
      <c r="K231" t="s">
        <v>66</v>
      </c>
      <c r="L231"/>
      <c r="M231">
        <v>1</v>
      </c>
      <c r="N231">
        <v>0</v>
      </c>
      <c r="O231"/>
      <c r="P231" s="17">
        <f>Table11[[#This Row],[Gain/Loss]]</f>
        <v>0</v>
      </c>
      <c r="Q231" s="17">
        <f>IF(Table11[[#This Row],[Direction]]="L",0.5,IF(Table11[[#This Row],[Direction]]="M",1.5,2.5))</f>
        <v>2.5</v>
      </c>
      <c r="R231" s="17" t="str">
        <f>IF(Table11[[#This Row],[Direction]]="R","Right",IF(Table11[[#This Row],[Direction]]="L","Left","Middle"))</f>
        <v>Right</v>
      </c>
      <c r="S231" s="17">
        <f>IF(Table11[[#This Row],[Pass Zone]]="S",0.5,IF(Table11[[#This Row],[Pass Zone]]="M",1.5,2.5))</f>
        <v>2.5</v>
      </c>
      <c r="T231" s="139"/>
      <c r="U231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231" s="139"/>
      <c r="W231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Red Zone</v>
      </c>
    </row>
    <row r="232" spans="1:23" x14ac:dyDescent="0.25">
      <c r="A232">
        <v>69</v>
      </c>
      <c r="B232">
        <v>4</v>
      </c>
      <c r="C232">
        <v>4</v>
      </c>
      <c r="D232">
        <v>11</v>
      </c>
      <c r="E232">
        <v>11</v>
      </c>
      <c r="F232">
        <v>11</v>
      </c>
      <c r="G232" t="s">
        <v>70</v>
      </c>
      <c r="J232" t="s">
        <v>13</v>
      </c>
      <c r="K232" t="s">
        <v>66</v>
      </c>
      <c r="L232"/>
      <c r="M232">
        <v>1</v>
      </c>
      <c r="N232">
        <v>1</v>
      </c>
      <c r="O232" t="s">
        <v>70</v>
      </c>
      <c r="P232" s="17">
        <f>Table11[[#This Row],[Gain/Loss]]</f>
        <v>11</v>
      </c>
      <c r="Q232" s="17">
        <f>IF(Table11[[#This Row],[Direction]]="L",0.5,IF(Table11[[#This Row],[Direction]]="M",1.5,2.5))</f>
        <v>2.5</v>
      </c>
      <c r="R232" s="17" t="str">
        <f>IF(Table11[[#This Row],[Direction]]="R","Right",IF(Table11[[#This Row],[Direction]]="L","Left","Middle"))</f>
        <v>Right</v>
      </c>
      <c r="S232" s="17">
        <f>IF(Table11[[#This Row],[Pass Zone]]="S",0.5,IF(Table11[[#This Row],[Pass Zone]]="M",1.5,2.5))</f>
        <v>1.5</v>
      </c>
      <c r="T232" s="139"/>
      <c r="U232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232" s="139"/>
      <c r="W232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Red Zone</v>
      </c>
    </row>
    <row r="233" spans="1:23" x14ac:dyDescent="0.25">
      <c r="A233">
        <v>89</v>
      </c>
      <c r="B233">
        <v>1</v>
      </c>
      <c r="C233">
        <v>1</v>
      </c>
      <c r="D233">
        <v>10</v>
      </c>
      <c r="E233">
        <v>-25</v>
      </c>
      <c r="F233">
        <v>-2</v>
      </c>
      <c r="G233" t="s">
        <v>70</v>
      </c>
      <c r="J233" t="s">
        <v>12</v>
      </c>
      <c r="K233" t="s">
        <v>72</v>
      </c>
      <c r="L233" t="s">
        <v>74</v>
      </c>
      <c r="M233">
        <v>1</v>
      </c>
      <c r="N233"/>
      <c r="O233"/>
      <c r="P233" s="17">
        <f>Table11[[#This Row],[Gain/Loss]]</f>
        <v>-2</v>
      </c>
      <c r="Q233" s="17">
        <f>IF(Table11[[#This Row],[Direction]]="L",0.5,IF(Table11[[#This Row],[Direction]]="M",1.5,2.5))</f>
        <v>0.5</v>
      </c>
      <c r="R233" s="17" t="str">
        <f>IF(Table11[[#This Row],[Direction]]="R","Right",IF(Table11[[#This Row],[Direction]]="L","Left","Middle"))</f>
        <v>Left</v>
      </c>
      <c r="S233" s="17">
        <f>IF(Table11[[#This Row],[Pass Zone]]="S",0.5,IF(Table11[[#This Row],[Pass Zone]]="M",1.5,2.5))</f>
        <v>2.5</v>
      </c>
      <c r="T233" s="139"/>
      <c r="U233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233" s="139"/>
      <c r="W233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234" spans="1:23" x14ac:dyDescent="0.25">
      <c r="A234">
        <v>91</v>
      </c>
      <c r="B234">
        <v>2</v>
      </c>
      <c r="C234">
        <v>2</v>
      </c>
      <c r="D234">
        <v>12</v>
      </c>
      <c r="E234">
        <v>-23</v>
      </c>
      <c r="F234">
        <v>2</v>
      </c>
      <c r="G234" t="s">
        <v>72</v>
      </c>
      <c r="J234" t="s">
        <v>12</v>
      </c>
      <c r="K234" t="s">
        <v>66</v>
      </c>
      <c r="L234" t="s">
        <v>74</v>
      </c>
      <c r="M234">
        <v>1</v>
      </c>
      <c r="N234"/>
      <c r="O234"/>
      <c r="P234" s="17">
        <f>Table11[[#This Row],[Gain/Loss]]</f>
        <v>2</v>
      </c>
      <c r="Q234" s="17">
        <f>IF(Table11[[#This Row],[Direction]]="L",0.5,IF(Table11[[#This Row],[Direction]]="M",1.5,2.5))</f>
        <v>2.5</v>
      </c>
      <c r="R234" s="17" t="str">
        <f>IF(Table11[[#This Row],[Direction]]="R","Right",IF(Table11[[#This Row],[Direction]]="L","Left","Middle"))</f>
        <v>Right</v>
      </c>
      <c r="S234" s="17">
        <f>IF(Table11[[#This Row],[Pass Zone]]="S",0.5,IF(Table11[[#This Row],[Pass Zone]]="M",1.5,2.5))</f>
        <v>2.5</v>
      </c>
      <c r="T234" s="139"/>
      <c r="U234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234" s="139"/>
      <c r="W234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235" spans="1:23" x14ac:dyDescent="0.25">
      <c r="A235">
        <v>92</v>
      </c>
      <c r="B235">
        <v>3</v>
      </c>
      <c r="C235">
        <v>3</v>
      </c>
      <c r="D235">
        <v>10</v>
      </c>
      <c r="E235">
        <v>-25</v>
      </c>
      <c r="F235">
        <v>15</v>
      </c>
      <c r="G235" t="s">
        <v>72</v>
      </c>
      <c r="J235" t="s">
        <v>12</v>
      </c>
      <c r="K235" t="s">
        <v>66</v>
      </c>
      <c r="L235" t="s">
        <v>74</v>
      </c>
      <c r="M235">
        <v>1</v>
      </c>
      <c r="N235"/>
      <c r="O235"/>
      <c r="P235" s="17">
        <f>Table11[[#This Row],[Gain/Loss]]</f>
        <v>15</v>
      </c>
      <c r="Q235" s="17">
        <f>IF(Table11[[#This Row],[Direction]]="L",0.5,IF(Table11[[#This Row],[Direction]]="M",1.5,2.5))</f>
        <v>2.5</v>
      </c>
      <c r="R235" s="17" t="str">
        <f>IF(Table11[[#This Row],[Direction]]="R","Right",IF(Table11[[#This Row],[Direction]]="L","Left","Middle"))</f>
        <v>Right</v>
      </c>
      <c r="S235" s="17">
        <f>IF(Table11[[#This Row],[Pass Zone]]="S",0.5,IF(Table11[[#This Row],[Pass Zone]]="M",1.5,2.5))</f>
        <v>2.5</v>
      </c>
      <c r="T235" s="139"/>
      <c r="U235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235" s="139"/>
      <c r="W235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236" spans="1:23" x14ac:dyDescent="0.25">
      <c r="A236">
        <v>93</v>
      </c>
      <c r="B236">
        <v>1</v>
      </c>
      <c r="C236">
        <v>1</v>
      </c>
      <c r="D236">
        <v>10</v>
      </c>
      <c r="E236">
        <v>-40</v>
      </c>
      <c r="F236">
        <v>3</v>
      </c>
      <c r="G236" t="s">
        <v>66</v>
      </c>
      <c r="J236" t="s">
        <v>12</v>
      </c>
      <c r="K236" t="s">
        <v>66</v>
      </c>
      <c r="L236" t="s">
        <v>74</v>
      </c>
      <c r="M236">
        <v>1</v>
      </c>
      <c r="N236"/>
      <c r="O236"/>
      <c r="P236" s="17">
        <f>Table11[[#This Row],[Gain/Loss]]</f>
        <v>3</v>
      </c>
      <c r="Q236" s="17">
        <f>IF(Table11[[#This Row],[Direction]]="L",0.5,IF(Table11[[#This Row],[Direction]]="M",1.5,2.5))</f>
        <v>2.5</v>
      </c>
      <c r="R236" s="17" t="str">
        <f>IF(Table11[[#This Row],[Direction]]="R","Right",IF(Table11[[#This Row],[Direction]]="L","Left","Middle"))</f>
        <v>Right</v>
      </c>
      <c r="S236" s="17">
        <f>IF(Table11[[#This Row],[Pass Zone]]="S",0.5,IF(Table11[[#This Row],[Pass Zone]]="M",1.5,2.5))</f>
        <v>2.5</v>
      </c>
      <c r="T236" s="139"/>
      <c r="U236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236" s="139"/>
      <c r="W236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237" spans="1:23" x14ac:dyDescent="0.25">
      <c r="A237">
        <v>94</v>
      </c>
      <c r="B237">
        <v>2</v>
      </c>
      <c r="C237">
        <v>2</v>
      </c>
      <c r="D237">
        <v>7</v>
      </c>
      <c r="E237">
        <v>-43</v>
      </c>
      <c r="F237">
        <v>4</v>
      </c>
      <c r="G237" t="s">
        <v>66</v>
      </c>
      <c r="J237" t="s">
        <v>12</v>
      </c>
      <c r="K237" t="s">
        <v>66</v>
      </c>
      <c r="L237" t="s">
        <v>74</v>
      </c>
      <c r="M237">
        <v>1</v>
      </c>
      <c r="N237"/>
      <c r="O237"/>
      <c r="P237" s="17">
        <f>Table11[[#This Row],[Gain/Loss]]</f>
        <v>4</v>
      </c>
      <c r="Q237" s="17">
        <f>IF(Table11[[#This Row],[Direction]]="L",0.5,IF(Table11[[#This Row],[Direction]]="M",1.5,2.5))</f>
        <v>2.5</v>
      </c>
      <c r="R237" s="17" t="str">
        <f>IF(Table11[[#This Row],[Direction]]="R","Right",IF(Table11[[#This Row],[Direction]]="L","Left","Middle"))</f>
        <v>Right</v>
      </c>
      <c r="S237" s="17">
        <f>IF(Table11[[#This Row],[Pass Zone]]="S",0.5,IF(Table11[[#This Row],[Pass Zone]]="M",1.5,2.5))</f>
        <v>2.5</v>
      </c>
      <c r="T237" s="139"/>
      <c r="U237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237" s="139"/>
      <c r="W237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238" spans="1:23" x14ac:dyDescent="0.25">
      <c r="A238">
        <v>95</v>
      </c>
      <c r="B238">
        <v>3</v>
      </c>
      <c r="C238">
        <v>3</v>
      </c>
      <c r="D238">
        <v>3</v>
      </c>
      <c r="E238">
        <v>-47</v>
      </c>
      <c r="F238">
        <v>5</v>
      </c>
      <c r="G238" t="s">
        <v>66</v>
      </c>
      <c r="J238" t="s">
        <v>12</v>
      </c>
      <c r="K238" t="s">
        <v>72</v>
      </c>
      <c r="L238" t="s">
        <v>74</v>
      </c>
      <c r="M238">
        <v>1</v>
      </c>
      <c r="N238"/>
      <c r="O238"/>
      <c r="P238" s="17">
        <f>Table11[[#This Row],[Gain/Loss]]</f>
        <v>5</v>
      </c>
      <c r="Q238" s="17">
        <f>IF(Table11[[#This Row],[Direction]]="L",0.5,IF(Table11[[#This Row],[Direction]]="M",1.5,2.5))</f>
        <v>0.5</v>
      </c>
      <c r="R238" s="17" t="str">
        <f>IF(Table11[[#This Row],[Direction]]="R","Right",IF(Table11[[#This Row],[Direction]]="L","Left","Middle"))</f>
        <v>Left</v>
      </c>
      <c r="S238" s="17">
        <f>IF(Table11[[#This Row],[Pass Zone]]="S",0.5,IF(Table11[[#This Row],[Pass Zone]]="M",1.5,2.5))</f>
        <v>2.5</v>
      </c>
      <c r="T238" s="139"/>
      <c r="U238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238" s="139"/>
      <c r="W238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239" spans="1:23" x14ac:dyDescent="0.25">
      <c r="A239">
        <v>97</v>
      </c>
      <c r="B239">
        <v>1</v>
      </c>
      <c r="C239">
        <v>1</v>
      </c>
      <c r="D239">
        <v>12</v>
      </c>
      <c r="E239">
        <v>50</v>
      </c>
      <c r="F239">
        <v>3</v>
      </c>
      <c r="G239" t="s">
        <v>72</v>
      </c>
      <c r="J239" t="s">
        <v>12</v>
      </c>
      <c r="K239" t="s">
        <v>66</v>
      </c>
      <c r="L239" t="s">
        <v>74</v>
      </c>
      <c r="M239">
        <v>1</v>
      </c>
      <c r="N239"/>
      <c r="O239"/>
      <c r="P239" s="17">
        <f>Table11[[#This Row],[Gain/Loss]]</f>
        <v>3</v>
      </c>
      <c r="Q239" s="17">
        <f>IF(Table11[[#This Row],[Direction]]="L",0.5,IF(Table11[[#This Row],[Direction]]="M",1.5,2.5))</f>
        <v>2.5</v>
      </c>
      <c r="R239" s="17" t="str">
        <f>IF(Table11[[#This Row],[Direction]]="R","Right",IF(Table11[[#This Row],[Direction]]="L","Left","Middle"))</f>
        <v>Right</v>
      </c>
      <c r="S239" s="17">
        <f>IF(Table11[[#This Row],[Pass Zone]]="S",0.5,IF(Table11[[#This Row],[Pass Zone]]="M",1.5,2.5))</f>
        <v>2.5</v>
      </c>
      <c r="T239" s="139"/>
      <c r="U239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239" s="139"/>
      <c r="W239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</row>
    <row r="240" spans="1:23" x14ac:dyDescent="0.25">
      <c r="A240">
        <v>98</v>
      </c>
      <c r="B240">
        <v>2</v>
      </c>
      <c r="C240">
        <v>2</v>
      </c>
      <c r="D240">
        <v>9</v>
      </c>
      <c r="E240">
        <v>47</v>
      </c>
      <c r="F240">
        <v>8</v>
      </c>
      <c r="G240" t="s">
        <v>72</v>
      </c>
      <c r="J240" t="s">
        <v>12</v>
      </c>
      <c r="K240" t="s">
        <v>72</v>
      </c>
      <c r="L240" t="s">
        <v>74</v>
      </c>
      <c r="M240">
        <v>1</v>
      </c>
      <c r="N240"/>
      <c r="O240"/>
      <c r="P240" s="17">
        <f>Table11[[#This Row],[Gain/Loss]]</f>
        <v>8</v>
      </c>
      <c r="Q240" s="17">
        <f>IF(Table11[[#This Row],[Direction]]="L",0.5,IF(Table11[[#This Row],[Direction]]="M",1.5,2.5))</f>
        <v>0.5</v>
      </c>
      <c r="R240" s="17" t="str">
        <f>IF(Table11[[#This Row],[Direction]]="R","Right",IF(Table11[[#This Row],[Direction]]="L","Left","Middle"))</f>
        <v>Left</v>
      </c>
      <c r="S240" s="17">
        <f>IF(Table11[[#This Row],[Pass Zone]]="S",0.5,IF(Table11[[#This Row],[Pass Zone]]="M",1.5,2.5))</f>
        <v>2.5</v>
      </c>
      <c r="T240" s="139"/>
      <c r="U240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240" s="139"/>
      <c r="W240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</row>
    <row r="241" spans="1:23" x14ac:dyDescent="0.25">
      <c r="A241">
        <v>99</v>
      </c>
      <c r="B241">
        <v>3</v>
      </c>
      <c r="C241">
        <v>3</v>
      </c>
      <c r="D241">
        <v>1</v>
      </c>
      <c r="E241">
        <v>39</v>
      </c>
      <c r="F241">
        <v>-16</v>
      </c>
      <c r="G241" t="s">
        <v>72</v>
      </c>
      <c r="J241" t="s">
        <v>13</v>
      </c>
      <c r="K241" t="s">
        <v>70</v>
      </c>
      <c r="L241"/>
      <c r="M241">
        <v>1</v>
      </c>
      <c r="N241">
        <v>0</v>
      </c>
      <c r="O241" t="s">
        <v>67</v>
      </c>
      <c r="P241" s="17">
        <f>Table11[[#This Row],[Gain/Loss]]</f>
        <v>-16</v>
      </c>
      <c r="Q241" s="17">
        <f>IF(Table11[[#This Row],[Direction]]="L",0.5,IF(Table11[[#This Row],[Direction]]="M",1.5,2.5))</f>
        <v>1.5</v>
      </c>
      <c r="R241" s="17" t="str">
        <f>IF(Table11[[#This Row],[Direction]]="R","Right",IF(Table11[[#This Row],[Direction]]="L","Left","Middle"))</f>
        <v>Middle</v>
      </c>
      <c r="S241" s="17">
        <f>IF(Table11[[#This Row],[Pass Zone]]="S",0.5,IF(Table11[[#This Row],[Pass Zone]]="M",1.5,2.5))</f>
        <v>0.5</v>
      </c>
      <c r="T241" s="139"/>
      <c r="U241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241" s="139"/>
      <c r="W241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</row>
    <row r="242" spans="1:23" x14ac:dyDescent="0.25">
      <c r="A242">
        <v>111</v>
      </c>
      <c r="B242">
        <v>1</v>
      </c>
      <c r="C242">
        <v>1</v>
      </c>
      <c r="D242">
        <v>10</v>
      </c>
      <c r="E242">
        <v>-32</v>
      </c>
      <c r="F242">
        <v>-4</v>
      </c>
      <c r="G242" t="s">
        <v>66</v>
      </c>
      <c r="J242" t="s">
        <v>12</v>
      </c>
      <c r="K242" t="s">
        <v>72</v>
      </c>
      <c r="L242" t="s">
        <v>74</v>
      </c>
      <c r="M242">
        <v>1</v>
      </c>
      <c r="N242"/>
      <c r="O242"/>
      <c r="P242" s="17">
        <f>Table11[[#This Row],[Gain/Loss]]</f>
        <v>-4</v>
      </c>
      <c r="Q242" s="17">
        <f>IF(Table11[[#This Row],[Direction]]="L",0.5,IF(Table11[[#This Row],[Direction]]="M",1.5,2.5))</f>
        <v>0.5</v>
      </c>
      <c r="R242" s="17" t="str">
        <f>IF(Table11[[#This Row],[Direction]]="R","Right",IF(Table11[[#This Row],[Direction]]="L","Left","Middle"))</f>
        <v>Left</v>
      </c>
      <c r="S242" s="17">
        <f>IF(Table11[[#This Row],[Pass Zone]]="S",0.5,IF(Table11[[#This Row],[Pass Zone]]="M",1.5,2.5))</f>
        <v>2.5</v>
      </c>
      <c r="T242" s="139"/>
      <c r="U242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242" s="139"/>
      <c r="W242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243" spans="1:23" x14ac:dyDescent="0.25">
      <c r="A243">
        <v>112</v>
      </c>
      <c r="B243">
        <v>2</v>
      </c>
      <c r="C243">
        <v>2</v>
      </c>
      <c r="D243">
        <v>14</v>
      </c>
      <c r="E243">
        <v>-28</v>
      </c>
      <c r="F243">
        <v>4</v>
      </c>
      <c r="G243" t="s">
        <v>70</v>
      </c>
      <c r="J243" t="s">
        <v>12</v>
      </c>
      <c r="K243" t="s">
        <v>72</v>
      </c>
      <c r="L243" t="s">
        <v>74</v>
      </c>
      <c r="M243">
        <v>1</v>
      </c>
      <c r="N243"/>
      <c r="O243"/>
      <c r="P243" s="17">
        <f>Table11[[#This Row],[Gain/Loss]]</f>
        <v>4</v>
      </c>
      <c r="Q243" s="17">
        <f>IF(Table11[[#This Row],[Direction]]="L",0.5,IF(Table11[[#This Row],[Direction]]="M",1.5,2.5))</f>
        <v>0.5</v>
      </c>
      <c r="R243" s="17" t="str">
        <f>IF(Table11[[#This Row],[Direction]]="R","Right",IF(Table11[[#This Row],[Direction]]="L","Left","Middle"))</f>
        <v>Left</v>
      </c>
      <c r="S243" s="17">
        <f>IF(Table11[[#This Row],[Pass Zone]]="S",0.5,IF(Table11[[#This Row],[Pass Zone]]="M",1.5,2.5))</f>
        <v>2.5</v>
      </c>
      <c r="T243" s="139"/>
      <c r="U243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243" s="139"/>
      <c r="W243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244" spans="1:23" x14ac:dyDescent="0.25">
      <c r="A244">
        <v>113</v>
      </c>
      <c r="B244">
        <v>3</v>
      </c>
      <c r="C244">
        <v>3</v>
      </c>
      <c r="D244">
        <v>10</v>
      </c>
      <c r="E244">
        <v>-32</v>
      </c>
      <c r="F244">
        <v>-6</v>
      </c>
      <c r="G244" t="s">
        <v>72</v>
      </c>
      <c r="J244" t="s">
        <v>12</v>
      </c>
      <c r="K244" t="s">
        <v>66</v>
      </c>
      <c r="L244" t="s">
        <v>74</v>
      </c>
      <c r="M244">
        <v>1</v>
      </c>
      <c r="N244"/>
      <c r="O244"/>
      <c r="P244" s="17">
        <f>Table11[[#This Row],[Gain/Loss]]</f>
        <v>-6</v>
      </c>
      <c r="Q244" s="17">
        <f>IF(Table11[[#This Row],[Direction]]="L",0.5,IF(Table11[[#This Row],[Direction]]="M",1.5,2.5))</f>
        <v>2.5</v>
      </c>
      <c r="R244" s="17" t="str">
        <f>IF(Table11[[#This Row],[Direction]]="R","Right",IF(Table11[[#This Row],[Direction]]="L","Left","Middle"))</f>
        <v>Right</v>
      </c>
      <c r="S244" s="17">
        <f>IF(Table11[[#This Row],[Pass Zone]]="S",0.5,IF(Table11[[#This Row],[Pass Zone]]="M",1.5,2.5))</f>
        <v>2.5</v>
      </c>
      <c r="T244" s="139"/>
      <c r="U244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244" s="139"/>
      <c r="W244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245" spans="1:23" x14ac:dyDescent="0.25">
      <c r="A245">
        <v>123</v>
      </c>
      <c r="B245">
        <v>1</v>
      </c>
      <c r="C245">
        <v>1</v>
      </c>
      <c r="D245">
        <v>10</v>
      </c>
      <c r="E245">
        <v>-45</v>
      </c>
      <c r="F245">
        <v>-1</v>
      </c>
      <c r="G245" t="s">
        <v>70</v>
      </c>
      <c r="J245" t="s">
        <v>12</v>
      </c>
      <c r="K245" t="s">
        <v>72</v>
      </c>
      <c r="L245" t="s">
        <v>74</v>
      </c>
      <c r="M245">
        <v>1</v>
      </c>
      <c r="N245"/>
      <c r="O245"/>
      <c r="P245" s="17">
        <f>Table11[[#This Row],[Gain/Loss]]</f>
        <v>-1</v>
      </c>
      <c r="Q245" s="17">
        <f>IF(Table11[[#This Row],[Direction]]="L",0.5,IF(Table11[[#This Row],[Direction]]="M",1.5,2.5))</f>
        <v>0.5</v>
      </c>
      <c r="R245" s="17" t="str">
        <f>IF(Table11[[#This Row],[Direction]]="R","Right",IF(Table11[[#This Row],[Direction]]="L","Left","Middle"))</f>
        <v>Left</v>
      </c>
      <c r="S245" s="17">
        <f>IF(Table11[[#This Row],[Pass Zone]]="S",0.5,IF(Table11[[#This Row],[Pass Zone]]="M",1.5,2.5))</f>
        <v>2.5</v>
      </c>
      <c r="T245" s="139"/>
      <c r="U245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245" s="139"/>
      <c r="W245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246" spans="1:23" x14ac:dyDescent="0.25">
      <c r="A246">
        <v>124</v>
      </c>
      <c r="B246">
        <v>2</v>
      </c>
      <c r="C246">
        <v>2</v>
      </c>
      <c r="D246">
        <v>11</v>
      </c>
      <c r="E246">
        <v>-44</v>
      </c>
      <c r="F246">
        <v>3</v>
      </c>
      <c r="G246" t="s">
        <v>72</v>
      </c>
      <c r="J246" t="s">
        <v>12</v>
      </c>
      <c r="K246" t="s">
        <v>66</v>
      </c>
      <c r="L246" t="s">
        <v>74</v>
      </c>
      <c r="M246">
        <v>1</v>
      </c>
      <c r="N246"/>
      <c r="O246"/>
      <c r="P246" s="17">
        <f>Table11[[#This Row],[Gain/Loss]]</f>
        <v>3</v>
      </c>
      <c r="Q246" s="17">
        <f>IF(Table11[[#This Row],[Direction]]="L",0.5,IF(Table11[[#This Row],[Direction]]="M",1.5,2.5))</f>
        <v>2.5</v>
      </c>
      <c r="R246" s="17" t="str">
        <f>IF(Table11[[#This Row],[Direction]]="R","Right",IF(Table11[[#This Row],[Direction]]="L","Left","Middle"))</f>
        <v>Right</v>
      </c>
      <c r="S246" s="17">
        <f>IF(Table11[[#This Row],[Pass Zone]]="S",0.5,IF(Table11[[#This Row],[Pass Zone]]="M",1.5,2.5))</f>
        <v>2.5</v>
      </c>
      <c r="T246" s="139"/>
      <c r="U246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246" s="139"/>
      <c r="W246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247" spans="1:23" x14ac:dyDescent="0.25">
      <c r="A247">
        <v>125</v>
      </c>
      <c r="B247">
        <v>3</v>
      </c>
      <c r="C247">
        <v>3</v>
      </c>
      <c r="D247">
        <v>8</v>
      </c>
      <c r="E247">
        <v>-47</v>
      </c>
      <c r="F247">
        <v>-6</v>
      </c>
      <c r="G247" t="s">
        <v>72</v>
      </c>
      <c r="J247" t="s">
        <v>12</v>
      </c>
      <c r="K247" t="s">
        <v>72</v>
      </c>
      <c r="L247" t="s">
        <v>74</v>
      </c>
      <c r="M247">
        <v>1</v>
      </c>
      <c r="N247"/>
      <c r="O247"/>
      <c r="P247" s="17">
        <f>Table11[[#This Row],[Gain/Loss]]</f>
        <v>-6</v>
      </c>
      <c r="Q247" s="17">
        <f>IF(Table11[[#This Row],[Direction]]="L",0.5,IF(Table11[[#This Row],[Direction]]="M",1.5,2.5))</f>
        <v>0.5</v>
      </c>
      <c r="R247" s="17" t="str">
        <f>IF(Table11[[#This Row],[Direction]]="R","Right",IF(Table11[[#This Row],[Direction]]="L","Left","Middle"))</f>
        <v>Left</v>
      </c>
      <c r="S247" s="17">
        <f>IF(Table11[[#This Row],[Pass Zone]]="S",0.5,IF(Table11[[#This Row],[Pass Zone]]="M",1.5,2.5))</f>
        <v>2.5</v>
      </c>
      <c r="T247" s="139"/>
      <c r="U247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247" s="139"/>
      <c r="W247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248" spans="1:23" x14ac:dyDescent="0.25">
      <c r="A248">
        <v>22</v>
      </c>
      <c r="B248">
        <v>1</v>
      </c>
      <c r="C248">
        <v>1</v>
      </c>
      <c r="D248">
        <v>10</v>
      </c>
      <c r="E248">
        <v>-24</v>
      </c>
      <c r="F248">
        <v>9</v>
      </c>
      <c r="G248" t="s">
        <v>66</v>
      </c>
      <c r="J248" t="s">
        <v>12</v>
      </c>
      <c r="K248" t="s">
        <v>66</v>
      </c>
      <c r="L248" t="s">
        <v>74</v>
      </c>
      <c r="M248">
        <v>1</v>
      </c>
      <c r="N248"/>
      <c r="O248"/>
      <c r="P248" s="17">
        <f>Table11[[#This Row],[Gain/Loss]]</f>
        <v>9</v>
      </c>
      <c r="Q248" s="17">
        <f>IF(Table11[[#This Row],[Direction]]="L",0.5,IF(Table11[[#This Row],[Direction]]="M",1.5,2.5))</f>
        <v>2.5</v>
      </c>
      <c r="R248" s="17" t="str">
        <f>IF(Table11[[#This Row],[Direction]]="R","Right",IF(Table11[[#This Row],[Direction]]="L","Left","Middle"))</f>
        <v>Right</v>
      </c>
      <c r="S248" s="17">
        <f>IF(Table11[[#This Row],[Pass Zone]]="S",0.5,IF(Table11[[#This Row],[Pass Zone]]="M",1.5,2.5))</f>
        <v>2.5</v>
      </c>
      <c r="T248" s="139"/>
      <c r="U248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248" s="139"/>
      <c r="W248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249" spans="1:23" x14ac:dyDescent="0.25">
      <c r="A249">
        <v>23</v>
      </c>
      <c r="B249">
        <v>2</v>
      </c>
      <c r="C249">
        <v>2</v>
      </c>
      <c r="D249">
        <v>1</v>
      </c>
      <c r="E249">
        <v>-33</v>
      </c>
      <c r="F249">
        <v>4</v>
      </c>
      <c r="G249" t="s">
        <v>70</v>
      </c>
      <c r="J249" t="s">
        <v>12</v>
      </c>
      <c r="K249" t="s">
        <v>66</v>
      </c>
      <c r="L249" t="s">
        <v>74</v>
      </c>
      <c r="M249">
        <v>1</v>
      </c>
      <c r="N249"/>
      <c r="O249"/>
      <c r="P249" s="17">
        <f>Table11[[#This Row],[Gain/Loss]]</f>
        <v>4</v>
      </c>
      <c r="Q249" s="17">
        <f>IF(Table11[[#This Row],[Direction]]="L",0.5,IF(Table11[[#This Row],[Direction]]="M",1.5,2.5))</f>
        <v>2.5</v>
      </c>
      <c r="R249" s="17" t="str">
        <f>IF(Table11[[#This Row],[Direction]]="R","Right",IF(Table11[[#This Row],[Direction]]="L","Left","Middle"))</f>
        <v>Right</v>
      </c>
      <c r="S249" s="17">
        <f>IF(Table11[[#This Row],[Pass Zone]]="S",0.5,IF(Table11[[#This Row],[Pass Zone]]="M",1.5,2.5))</f>
        <v>2.5</v>
      </c>
      <c r="T249" s="139"/>
      <c r="U249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249" s="139"/>
      <c r="W249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250" spans="1:23" x14ac:dyDescent="0.25">
      <c r="A250">
        <v>24</v>
      </c>
      <c r="B250">
        <v>1</v>
      </c>
      <c r="C250">
        <v>1</v>
      </c>
      <c r="D250">
        <v>10</v>
      </c>
      <c r="E250">
        <v>-37</v>
      </c>
      <c r="F250">
        <v>28</v>
      </c>
      <c r="G250" t="s">
        <v>66</v>
      </c>
      <c r="J250" t="s">
        <v>13</v>
      </c>
      <c r="K250" t="s">
        <v>72</v>
      </c>
      <c r="L250"/>
      <c r="M250">
        <v>1</v>
      </c>
      <c r="N250">
        <v>1</v>
      </c>
      <c r="O250" t="s">
        <v>71</v>
      </c>
      <c r="P250" s="17">
        <f>Table11[[#This Row],[Gain/Loss]]</f>
        <v>28</v>
      </c>
      <c r="Q250" s="17">
        <f>IF(Table11[[#This Row],[Direction]]="L",0.5,IF(Table11[[#This Row],[Direction]]="M",1.5,2.5))</f>
        <v>0.5</v>
      </c>
      <c r="R250" s="17" t="str">
        <f>IF(Table11[[#This Row],[Direction]]="R","Right",IF(Table11[[#This Row],[Direction]]="L","Left","Middle"))</f>
        <v>Left</v>
      </c>
      <c r="S250" s="17">
        <f>IF(Table11[[#This Row],[Pass Zone]]="S",0.5,IF(Table11[[#This Row],[Pass Zone]]="M",1.5,2.5))</f>
        <v>2.5</v>
      </c>
      <c r="T250" s="139"/>
      <c r="U250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250" s="139"/>
      <c r="W250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251" spans="1:23" x14ac:dyDescent="0.25">
      <c r="A251">
        <v>25</v>
      </c>
      <c r="B251">
        <v>1</v>
      </c>
      <c r="C251">
        <v>1</v>
      </c>
      <c r="D251">
        <v>10</v>
      </c>
      <c r="E251">
        <v>35</v>
      </c>
      <c r="F251">
        <v>0</v>
      </c>
      <c r="G251" t="s">
        <v>72</v>
      </c>
      <c r="J251" t="s">
        <v>12</v>
      </c>
      <c r="K251" t="s">
        <v>66</v>
      </c>
      <c r="L251" t="s">
        <v>74</v>
      </c>
      <c r="M251">
        <v>1</v>
      </c>
      <c r="N251"/>
      <c r="O251"/>
      <c r="P251" s="17">
        <f>Table11[[#This Row],[Gain/Loss]]</f>
        <v>0</v>
      </c>
      <c r="Q251" s="17">
        <f>IF(Table11[[#This Row],[Direction]]="L",0.5,IF(Table11[[#This Row],[Direction]]="M",1.5,2.5))</f>
        <v>2.5</v>
      </c>
      <c r="R251" s="17" t="str">
        <f>IF(Table11[[#This Row],[Direction]]="R","Right",IF(Table11[[#This Row],[Direction]]="L","Left","Middle"))</f>
        <v>Right</v>
      </c>
      <c r="S251" s="17">
        <f>IF(Table11[[#This Row],[Pass Zone]]="S",0.5,IF(Table11[[#This Row],[Pass Zone]]="M",1.5,2.5))</f>
        <v>2.5</v>
      </c>
      <c r="T251" s="139"/>
      <c r="U251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251" s="139"/>
      <c r="W251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</row>
    <row r="252" spans="1:23" x14ac:dyDescent="0.25">
      <c r="A252">
        <v>26</v>
      </c>
      <c r="B252">
        <v>2</v>
      </c>
      <c r="C252">
        <v>2</v>
      </c>
      <c r="D252">
        <v>10</v>
      </c>
      <c r="E252">
        <v>35</v>
      </c>
      <c r="F252">
        <v>8</v>
      </c>
      <c r="G252" t="s">
        <v>66</v>
      </c>
      <c r="J252" t="s">
        <v>13</v>
      </c>
      <c r="K252" t="s">
        <v>72</v>
      </c>
      <c r="L252"/>
      <c r="M252">
        <v>1</v>
      </c>
      <c r="N252">
        <v>1</v>
      </c>
      <c r="O252" t="s">
        <v>70</v>
      </c>
      <c r="P252" s="17">
        <f>Table11[[#This Row],[Gain/Loss]]</f>
        <v>8</v>
      </c>
      <c r="Q252" s="17">
        <f>IF(Table11[[#This Row],[Direction]]="L",0.5,IF(Table11[[#This Row],[Direction]]="M",1.5,2.5))</f>
        <v>0.5</v>
      </c>
      <c r="R252" s="17" t="str">
        <f>IF(Table11[[#This Row],[Direction]]="R","Right",IF(Table11[[#This Row],[Direction]]="L","Left","Middle"))</f>
        <v>Left</v>
      </c>
      <c r="S252" s="17">
        <f>IF(Table11[[#This Row],[Pass Zone]]="S",0.5,IF(Table11[[#This Row],[Pass Zone]]="M",1.5,2.5))</f>
        <v>1.5</v>
      </c>
      <c r="T252" s="139"/>
      <c r="U252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252" s="139"/>
      <c r="W252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</row>
    <row r="253" spans="1:23" x14ac:dyDescent="0.25">
      <c r="A253">
        <v>27</v>
      </c>
      <c r="B253">
        <v>3</v>
      </c>
      <c r="C253">
        <v>3</v>
      </c>
      <c r="D253">
        <v>2</v>
      </c>
      <c r="E253">
        <v>27</v>
      </c>
      <c r="F253">
        <v>7</v>
      </c>
      <c r="G253" t="s">
        <v>72</v>
      </c>
      <c r="J253" t="s">
        <v>13</v>
      </c>
      <c r="K253" t="s">
        <v>66</v>
      </c>
      <c r="L253"/>
      <c r="M253">
        <v>1</v>
      </c>
      <c r="N253">
        <v>1</v>
      </c>
      <c r="O253" t="s">
        <v>67</v>
      </c>
      <c r="P253" s="17">
        <f>Table11[[#This Row],[Gain/Loss]]</f>
        <v>7</v>
      </c>
      <c r="Q253" s="17">
        <f>IF(Table11[[#This Row],[Direction]]="L",0.5,IF(Table11[[#This Row],[Direction]]="M",1.5,2.5))</f>
        <v>2.5</v>
      </c>
      <c r="R253" s="17" t="str">
        <f>IF(Table11[[#This Row],[Direction]]="R","Right",IF(Table11[[#This Row],[Direction]]="L","Left","Middle"))</f>
        <v>Right</v>
      </c>
      <c r="S253" s="17">
        <f>IF(Table11[[#This Row],[Pass Zone]]="S",0.5,IF(Table11[[#This Row],[Pass Zone]]="M",1.5,2.5))</f>
        <v>0.5</v>
      </c>
      <c r="T253" s="139"/>
      <c r="U253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253" s="139"/>
      <c r="W253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</row>
    <row r="254" spans="1:23" x14ac:dyDescent="0.25">
      <c r="A254">
        <v>28</v>
      </c>
      <c r="B254">
        <v>1</v>
      </c>
      <c r="C254">
        <v>1</v>
      </c>
      <c r="D254">
        <v>10</v>
      </c>
      <c r="E254">
        <v>20</v>
      </c>
      <c r="F254">
        <v>4</v>
      </c>
      <c r="G254" t="s">
        <v>66</v>
      </c>
      <c r="J254" t="s">
        <v>12</v>
      </c>
      <c r="K254" t="s">
        <v>72</v>
      </c>
      <c r="L254" t="s">
        <v>74</v>
      </c>
      <c r="M254">
        <v>1</v>
      </c>
      <c r="N254"/>
      <c r="O254"/>
      <c r="P254" s="17">
        <f>Table11[[#This Row],[Gain/Loss]]</f>
        <v>4</v>
      </c>
      <c r="Q254" s="17">
        <f>IF(Table11[[#This Row],[Direction]]="L",0.5,IF(Table11[[#This Row],[Direction]]="M",1.5,2.5))</f>
        <v>0.5</v>
      </c>
      <c r="R254" s="17" t="str">
        <f>IF(Table11[[#This Row],[Direction]]="R","Right",IF(Table11[[#This Row],[Direction]]="L","Left","Middle"))</f>
        <v>Left</v>
      </c>
      <c r="S254" s="17">
        <f>IF(Table11[[#This Row],[Pass Zone]]="S",0.5,IF(Table11[[#This Row],[Pass Zone]]="M",1.5,2.5))</f>
        <v>2.5</v>
      </c>
      <c r="T254" s="139"/>
      <c r="U254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254" s="139"/>
      <c r="W254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Red Zone</v>
      </c>
    </row>
    <row r="255" spans="1:23" x14ac:dyDescent="0.25">
      <c r="A255">
        <v>29</v>
      </c>
      <c r="B255">
        <v>2</v>
      </c>
      <c r="C255">
        <v>2</v>
      </c>
      <c r="D255">
        <v>6</v>
      </c>
      <c r="E255">
        <v>16</v>
      </c>
      <c r="F255">
        <v>9</v>
      </c>
      <c r="G255" t="s">
        <v>66</v>
      </c>
      <c r="J255" t="s">
        <v>12</v>
      </c>
      <c r="K255" t="s">
        <v>66</v>
      </c>
      <c r="L255" t="s">
        <v>74</v>
      </c>
      <c r="M255">
        <v>1</v>
      </c>
      <c r="N255"/>
      <c r="O255"/>
      <c r="P255" s="17">
        <f>Table11[[#This Row],[Gain/Loss]]</f>
        <v>9</v>
      </c>
      <c r="Q255" s="17">
        <f>IF(Table11[[#This Row],[Direction]]="L",0.5,IF(Table11[[#This Row],[Direction]]="M",1.5,2.5))</f>
        <v>2.5</v>
      </c>
      <c r="R255" s="17" t="str">
        <f>IF(Table11[[#This Row],[Direction]]="R","Right",IF(Table11[[#This Row],[Direction]]="L","Left","Middle"))</f>
        <v>Right</v>
      </c>
      <c r="S255" s="17">
        <f>IF(Table11[[#This Row],[Pass Zone]]="S",0.5,IF(Table11[[#This Row],[Pass Zone]]="M",1.5,2.5))</f>
        <v>2.5</v>
      </c>
      <c r="T255" s="139"/>
      <c r="U255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255" s="139"/>
      <c r="W255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Red Zone</v>
      </c>
    </row>
    <row r="256" spans="1:23" x14ac:dyDescent="0.25">
      <c r="A256">
        <v>30</v>
      </c>
      <c r="B256">
        <v>1</v>
      </c>
      <c r="C256">
        <v>1</v>
      </c>
      <c r="D256">
        <v>7</v>
      </c>
      <c r="E256">
        <v>7</v>
      </c>
      <c r="F256">
        <v>6</v>
      </c>
      <c r="G256" t="s">
        <v>66</v>
      </c>
      <c r="J256" t="s">
        <v>12</v>
      </c>
      <c r="K256" t="s">
        <v>72</v>
      </c>
      <c r="L256" t="s">
        <v>74</v>
      </c>
      <c r="M256">
        <v>1</v>
      </c>
      <c r="N256"/>
      <c r="O256"/>
      <c r="P256" s="17">
        <f>Table11[[#This Row],[Gain/Loss]]</f>
        <v>6</v>
      </c>
      <c r="Q256" s="17">
        <f>IF(Table11[[#This Row],[Direction]]="L",0.5,IF(Table11[[#This Row],[Direction]]="M",1.5,2.5))</f>
        <v>0.5</v>
      </c>
      <c r="R256" s="17" t="str">
        <f>IF(Table11[[#This Row],[Direction]]="R","Right",IF(Table11[[#This Row],[Direction]]="L","Left","Middle"))</f>
        <v>Left</v>
      </c>
      <c r="S256" s="17">
        <f>IF(Table11[[#This Row],[Pass Zone]]="S",0.5,IF(Table11[[#This Row],[Pass Zone]]="M",1.5,2.5))</f>
        <v>2.5</v>
      </c>
      <c r="T256" s="139"/>
      <c r="U256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256" s="139"/>
      <c r="W256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Red Zone</v>
      </c>
    </row>
    <row r="257" spans="1:23" x14ac:dyDescent="0.25">
      <c r="A257">
        <v>31</v>
      </c>
      <c r="B257">
        <v>2</v>
      </c>
      <c r="C257">
        <v>2</v>
      </c>
      <c r="D257">
        <v>1</v>
      </c>
      <c r="E257">
        <v>1</v>
      </c>
      <c r="F257">
        <v>1</v>
      </c>
      <c r="G257" t="s">
        <v>72</v>
      </c>
      <c r="J257" t="s">
        <v>12</v>
      </c>
      <c r="K257" t="s">
        <v>72</v>
      </c>
      <c r="L257" t="s">
        <v>74</v>
      </c>
      <c r="M257">
        <v>1</v>
      </c>
      <c r="N257"/>
      <c r="O257"/>
      <c r="P257" s="17">
        <f>Table11[[#This Row],[Gain/Loss]]</f>
        <v>1</v>
      </c>
      <c r="Q257" s="17">
        <f>IF(Table11[[#This Row],[Direction]]="L",0.5,IF(Table11[[#This Row],[Direction]]="M",1.5,2.5))</f>
        <v>0.5</v>
      </c>
      <c r="R257" s="17" t="str">
        <f>IF(Table11[[#This Row],[Direction]]="R","Right",IF(Table11[[#This Row],[Direction]]="L","Left","Middle"))</f>
        <v>Left</v>
      </c>
      <c r="S257" s="17">
        <f>IF(Table11[[#This Row],[Pass Zone]]="S",0.5,IF(Table11[[#This Row],[Pass Zone]]="M",1.5,2.5))</f>
        <v>2.5</v>
      </c>
      <c r="T257" s="139"/>
      <c r="U257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257" s="139"/>
      <c r="W257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Goal Line</v>
      </c>
    </row>
    <row r="258" spans="1:23" x14ac:dyDescent="0.25">
      <c r="A258">
        <v>43</v>
      </c>
      <c r="B258">
        <v>1</v>
      </c>
      <c r="C258">
        <v>1</v>
      </c>
      <c r="D258">
        <v>10</v>
      </c>
      <c r="E258">
        <v>-26</v>
      </c>
      <c r="F258">
        <v>3</v>
      </c>
      <c r="G258" t="s">
        <v>66</v>
      </c>
      <c r="J258" t="s">
        <v>12</v>
      </c>
      <c r="K258" t="s">
        <v>72</v>
      </c>
      <c r="L258" t="s">
        <v>74</v>
      </c>
      <c r="M258">
        <v>1</v>
      </c>
      <c r="N258"/>
      <c r="O258"/>
      <c r="P258" s="17">
        <f>Table11[[#This Row],[Gain/Loss]]</f>
        <v>3</v>
      </c>
      <c r="Q258" s="17">
        <f>IF(Table11[[#This Row],[Direction]]="L",0.5,IF(Table11[[#This Row],[Direction]]="M",1.5,2.5))</f>
        <v>0.5</v>
      </c>
      <c r="R258" s="17" t="str">
        <f>IF(Table11[[#This Row],[Direction]]="R","Right",IF(Table11[[#This Row],[Direction]]="L","Left","Middle"))</f>
        <v>Left</v>
      </c>
      <c r="S258" s="17">
        <f>IF(Table11[[#This Row],[Pass Zone]]="S",0.5,IF(Table11[[#This Row],[Pass Zone]]="M",1.5,2.5))</f>
        <v>2.5</v>
      </c>
      <c r="T258" s="139"/>
      <c r="U258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258" s="139"/>
      <c r="W258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259" spans="1:23" x14ac:dyDescent="0.25">
      <c r="A259">
        <v>44</v>
      </c>
      <c r="B259">
        <v>2</v>
      </c>
      <c r="C259">
        <v>2</v>
      </c>
      <c r="D259">
        <v>7</v>
      </c>
      <c r="E259">
        <v>-29</v>
      </c>
      <c r="F259">
        <v>11</v>
      </c>
      <c r="G259" t="s">
        <v>72</v>
      </c>
      <c r="J259" t="s">
        <v>12</v>
      </c>
      <c r="K259" t="s">
        <v>66</v>
      </c>
      <c r="L259" t="s">
        <v>74</v>
      </c>
      <c r="M259">
        <v>1</v>
      </c>
      <c r="N259"/>
      <c r="O259"/>
      <c r="P259" s="17">
        <f>Table11[[#This Row],[Gain/Loss]]</f>
        <v>11</v>
      </c>
      <c r="Q259" s="17">
        <f>IF(Table11[[#This Row],[Direction]]="L",0.5,IF(Table11[[#This Row],[Direction]]="M",1.5,2.5))</f>
        <v>2.5</v>
      </c>
      <c r="R259" s="17" t="str">
        <f>IF(Table11[[#This Row],[Direction]]="R","Right",IF(Table11[[#This Row],[Direction]]="L","Left","Middle"))</f>
        <v>Right</v>
      </c>
      <c r="S259" s="17">
        <f>IF(Table11[[#This Row],[Pass Zone]]="S",0.5,IF(Table11[[#This Row],[Pass Zone]]="M",1.5,2.5))</f>
        <v>2.5</v>
      </c>
      <c r="T259" s="139"/>
      <c r="U259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259" s="139"/>
      <c r="W259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260" spans="1:23" x14ac:dyDescent="0.25">
      <c r="A260">
        <v>45</v>
      </c>
      <c r="B260">
        <v>1</v>
      </c>
      <c r="C260">
        <v>1</v>
      </c>
      <c r="D260">
        <v>10</v>
      </c>
      <c r="E260">
        <v>-40</v>
      </c>
      <c r="F260">
        <v>26</v>
      </c>
      <c r="G260" t="s">
        <v>72</v>
      </c>
      <c r="J260" t="s">
        <v>12</v>
      </c>
      <c r="K260" t="s">
        <v>66</v>
      </c>
      <c r="L260" t="s">
        <v>74</v>
      </c>
      <c r="M260">
        <v>1</v>
      </c>
      <c r="N260"/>
      <c r="O260"/>
      <c r="P260" s="17">
        <f>Table11[[#This Row],[Gain/Loss]]</f>
        <v>26</v>
      </c>
      <c r="Q260" s="17">
        <f>IF(Table11[[#This Row],[Direction]]="L",0.5,IF(Table11[[#This Row],[Direction]]="M",1.5,2.5))</f>
        <v>2.5</v>
      </c>
      <c r="R260" s="17" t="str">
        <f>IF(Table11[[#This Row],[Direction]]="R","Right",IF(Table11[[#This Row],[Direction]]="L","Left","Middle"))</f>
        <v>Right</v>
      </c>
      <c r="S260" s="17">
        <f>IF(Table11[[#This Row],[Pass Zone]]="S",0.5,IF(Table11[[#This Row],[Pass Zone]]="M",1.5,2.5))</f>
        <v>2.5</v>
      </c>
      <c r="T260" s="139"/>
      <c r="U260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260" s="139"/>
      <c r="W260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261" spans="1:23" x14ac:dyDescent="0.25">
      <c r="A261">
        <v>47</v>
      </c>
      <c r="B261">
        <v>1</v>
      </c>
      <c r="C261">
        <v>1</v>
      </c>
      <c r="D261">
        <v>10</v>
      </c>
      <c r="E261">
        <v>34</v>
      </c>
      <c r="F261">
        <v>-6</v>
      </c>
      <c r="G261" t="s">
        <v>72</v>
      </c>
      <c r="J261" t="s">
        <v>12</v>
      </c>
      <c r="K261" t="s">
        <v>66</v>
      </c>
      <c r="L261" t="s">
        <v>74</v>
      </c>
      <c r="M261">
        <v>1</v>
      </c>
      <c r="N261"/>
      <c r="O261"/>
      <c r="P261" s="17">
        <f>Table11[[#This Row],[Gain/Loss]]</f>
        <v>-6</v>
      </c>
      <c r="Q261" s="17">
        <f>IF(Table11[[#This Row],[Direction]]="L",0.5,IF(Table11[[#This Row],[Direction]]="M",1.5,2.5))</f>
        <v>2.5</v>
      </c>
      <c r="R261" s="17" t="str">
        <f>IF(Table11[[#This Row],[Direction]]="R","Right",IF(Table11[[#This Row],[Direction]]="L","Left","Middle"))</f>
        <v>Right</v>
      </c>
      <c r="S261" s="17">
        <f>IF(Table11[[#This Row],[Pass Zone]]="S",0.5,IF(Table11[[#This Row],[Pass Zone]]="M",1.5,2.5))</f>
        <v>2.5</v>
      </c>
      <c r="T261" s="139"/>
      <c r="U261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261" s="139"/>
      <c r="W261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</row>
    <row r="262" spans="1:23" x14ac:dyDescent="0.25">
      <c r="A262">
        <v>49</v>
      </c>
      <c r="B262">
        <v>2</v>
      </c>
      <c r="C262">
        <v>2</v>
      </c>
      <c r="D262">
        <v>16</v>
      </c>
      <c r="E262">
        <v>40</v>
      </c>
      <c r="F262">
        <v>-3</v>
      </c>
      <c r="G262" t="s">
        <v>70</v>
      </c>
      <c r="J262" t="s">
        <v>12</v>
      </c>
      <c r="K262" t="s">
        <v>66</v>
      </c>
      <c r="L262" t="s">
        <v>74</v>
      </c>
      <c r="M262">
        <v>1</v>
      </c>
      <c r="N262"/>
      <c r="O262"/>
      <c r="P262" s="17">
        <f>Table11[[#This Row],[Gain/Loss]]</f>
        <v>-3</v>
      </c>
      <c r="Q262" s="17">
        <f>IF(Table11[[#This Row],[Direction]]="L",0.5,IF(Table11[[#This Row],[Direction]]="M",1.5,2.5))</f>
        <v>2.5</v>
      </c>
      <c r="R262" s="17" t="str">
        <f>IF(Table11[[#This Row],[Direction]]="R","Right",IF(Table11[[#This Row],[Direction]]="L","Left","Middle"))</f>
        <v>Right</v>
      </c>
      <c r="S262" s="17">
        <f>IF(Table11[[#This Row],[Pass Zone]]="S",0.5,IF(Table11[[#This Row],[Pass Zone]]="M",1.5,2.5))</f>
        <v>2.5</v>
      </c>
      <c r="T262" s="139"/>
      <c r="U262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262" s="139"/>
      <c r="W262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</row>
    <row r="263" spans="1:23" x14ac:dyDescent="0.25">
      <c r="A263">
        <v>50</v>
      </c>
      <c r="B263">
        <v>3</v>
      </c>
      <c r="C263">
        <v>3</v>
      </c>
      <c r="D263">
        <v>19</v>
      </c>
      <c r="E263">
        <v>43</v>
      </c>
      <c r="F263">
        <v>12</v>
      </c>
      <c r="G263" t="s">
        <v>70</v>
      </c>
      <c r="J263" t="s">
        <v>13</v>
      </c>
      <c r="K263" t="s">
        <v>66</v>
      </c>
      <c r="L263"/>
      <c r="M263">
        <v>1</v>
      </c>
      <c r="N263">
        <v>1</v>
      </c>
      <c r="O263" t="s">
        <v>70</v>
      </c>
      <c r="P263" s="17">
        <f>Table11[[#This Row],[Gain/Loss]]</f>
        <v>12</v>
      </c>
      <c r="Q263" s="17">
        <f>IF(Table11[[#This Row],[Direction]]="L",0.5,IF(Table11[[#This Row],[Direction]]="M",1.5,2.5))</f>
        <v>2.5</v>
      </c>
      <c r="R263" s="17" t="str">
        <f>IF(Table11[[#This Row],[Direction]]="R","Right",IF(Table11[[#This Row],[Direction]]="L","Left","Middle"))</f>
        <v>Right</v>
      </c>
      <c r="S263" s="17">
        <f>IF(Table11[[#This Row],[Pass Zone]]="S",0.5,IF(Table11[[#This Row],[Pass Zone]]="M",1.5,2.5))</f>
        <v>1.5</v>
      </c>
      <c r="T263" s="139"/>
      <c r="U263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263" s="139"/>
      <c r="W263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</row>
    <row r="264" spans="1:23" x14ac:dyDescent="0.25">
      <c r="A264">
        <v>61</v>
      </c>
      <c r="B264">
        <v>1</v>
      </c>
      <c r="C264">
        <v>1</v>
      </c>
      <c r="D264">
        <v>10</v>
      </c>
      <c r="E264">
        <v>-47</v>
      </c>
      <c r="F264">
        <v>4</v>
      </c>
      <c r="G264" t="s">
        <v>70</v>
      </c>
      <c r="J264" t="s">
        <v>13</v>
      </c>
      <c r="K264" t="s">
        <v>66</v>
      </c>
      <c r="L264"/>
      <c r="M264">
        <v>1</v>
      </c>
      <c r="N264">
        <v>1</v>
      </c>
      <c r="O264" t="s">
        <v>67</v>
      </c>
      <c r="P264" s="17">
        <f>Table11[[#This Row],[Gain/Loss]]</f>
        <v>4</v>
      </c>
      <c r="Q264" s="17">
        <f>IF(Table11[[#This Row],[Direction]]="L",0.5,IF(Table11[[#This Row],[Direction]]="M",1.5,2.5))</f>
        <v>2.5</v>
      </c>
      <c r="R264" s="17" t="str">
        <f>IF(Table11[[#This Row],[Direction]]="R","Right",IF(Table11[[#This Row],[Direction]]="L","Left","Middle"))</f>
        <v>Right</v>
      </c>
      <c r="S264" s="17">
        <f>IF(Table11[[#This Row],[Pass Zone]]="S",0.5,IF(Table11[[#This Row],[Pass Zone]]="M",1.5,2.5))</f>
        <v>0.5</v>
      </c>
      <c r="T264" s="139"/>
      <c r="U264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264" s="139"/>
      <c r="W264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265" spans="1:23" x14ac:dyDescent="0.25">
      <c r="A265">
        <v>62</v>
      </c>
      <c r="B265">
        <v>2</v>
      </c>
      <c r="C265">
        <v>2</v>
      </c>
      <c r="D265">
        <v>6</v>
      </c>
      <c r="E265">
        <v>49</v>
      </c>
      <c r="F265">
        <v>4</v>
      </c>
      <c r="G265" t="s">
        <v>66</v>
      </c>
      <c r="J265" t="s">
        <v>12</v>
      </c>
      <c r="K265" t="s">
        <v>66</v>
      </c>
      <c r="L265" t="s">
        <v>74</v>
      </c>
      <c r="M265">
        <v>1</v>
      </c>
      <c r="N265"/>
      <c r="O265"/>
      <c r="P265" s="17">
        <f>Table11[[#This Row],[Gain/Loss]]</f>
        <v>4</v>
      </c>
      <c r="Q265" s="17">
        <f>IF(Table11[[#This Row],[Direction]]="L",0.5,IF(Table11[[#This Row],[Direction]]="M",1.5,2.5))</f>
        <v>2.5</v>
      </c>
      <c r="R265" s="17" t="str">
        <f>IF(Table11[[#This Row],[Direction]]="R","Right",IF(Table11[[#This Row],[Direction]]="L","Left","Middle"))</f>
        <v>Right</v>
      </c>
      <c r="S265" s="17">
        <f>IF(Table11[[#This Row],[Pass Zone]]="S",0.5,IF(Table11[[#This Row],[Pass Zone]]="M",1.5,2.5))</f>
        <v>2.5</v>
      </c>
      <c r="T265" s="139"/>
      <c r="U265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265" s="139"/>
      <c r="W265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</row>
    <row r="266" spans="1:23" x14ac:dyDescent="0.25">
      <c r="A266">
        <v>63</v>
      </c>
      <c r="B266">
        <v>3</v>
      </c>
      <c r="C266">
        <v>3</v>
      </c>
      <c r="D266">
        <v>2</v>
      </c>
      <c r="E266">
        <v>45</v>
      </c>
      <c r="F266">
        <v>2</v>
      </c>
      <c r="G266" t="s">
        <v>66</v>
      </c>
      <c r="J266" t="s">
        <v>12</v>
      </c>
      <c r="K266" t="s">
        <v>66</v>
      </c>
      <c r="L266" t="s">
        <v>74</v>
      </c>
      <c r="M266">
        <v>1</v>
      </c>
      <c r="N266"/>
      <c r="O266"/>
      <c r="P266" s="17">
        <f>Table11[[#This Row],[Gain/Loss]]</f>
        <v>2</v>
      </c>
      <c r="Q266" s="17">
        <f>IF(Table11[[#This Row],[Direction]]="L",0.5,IF(Table11[[#This Row],[Direction]]="M",1.5,2.5))</f>
        <v>2.5</v>
      </c>
      <c r="R266" s="17" t="str">
        <f>IF(Table11[[#This Row],[Direction]]="R","Right",IF(Table11[[#This Row],[Direction]]="L","Left","Middle"))</f>
        <v>Right</v>
      </c>
      <c r="S266" s="17">
        <f>IF(Table11[[#This Row],[Pass Zone]]="S",0.5,IF(Table11[[#This Row],[Pass Zone]]="M",1.5,2.5))</f>
        <v>2.5</v>
      </c>
      <c r="T266" s="139"/>
      <c r="U266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266" s="139"/>
      <c r="W266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</row>
    <row r="267" spans="1:23" x14ac:dyDescent="0.25">
      <c r="A267">
        <v>64</v>
      </c>
      <c r="B267">
        <v>1</v>
      </c>
      <c r="C267">
        <v>1</v>
      </c>
      <c r="D267">
        <v>10</v>
      </c>
      <c r="E267">
        <v>43</v>
      </c>
      <c r="F267">
        <v>9</v>
      </c>
      <c r="G267" t="s">
        <v>66</v>
      </c>
      <c r="J267" t="s">
        <v>12</v>
      </c>
      <c r="K267" t="s">
        <v>72</v>
      </c>
      <c r="L267" t="s">
        <v>74</v>
      </c>
      <c r="M267">
        <v>1</v>
      </c>
      <c r="N267"/>
      <c r="O267"/>
      <c r="P267" s="17">
        <f>Table11[[#This Row],[Gain/Loss]]</f>
        <v>9</v>
      </c>
      <c r="Q267" s="17">
        <f>IF(Table11[[#This Row],[Direction]]="L",0.5,IF(Table11[[#This Row],[Direction]]="M",1.5,2.5))</f>
        <v>0.5</v>
      </c>
      <c r="R267" s="17" t="str">
        <f>IF(Table11[[#This Row],[Direction]]="R","Right",IF(Table11[[#This Row],[Direction]]="L","Left","Middle"))</f>
        <v>Left</v>
      </c>
      <c r="S267" s="17">
        <f>IF(Table11[[#This Row],[Pass Zone]]="S",0.5,IF(Table11[[#This Row],[Pass Zone]]="M",1.5,2.5))</f>
        <v>2.5</v>
      </c>
      <c r="T267" s="139"/>
      <c r="U267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267" s="139"/>
      <c r="W267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</row>
    <row r="268" spans="1:23" x14ac:dyDescent="0.25">
      <c r="A268">
        <v>65</v>
      </c>
      <c r="B268">
        <v>2</v>
      </c>
      <c r="C268">
        <v>2</v>
      </c>
      <c r="D268">
        <v>1</v>
      </c>
      <c r="E268">
        <v>34</v>
      </c>
      <c r="F268">
        <v>29</v>
      </c>
      <c r="G268" t="s">
        <v>72</v>
      </c>
      <c r="J268" t="s">
        <v>12</v>
      </c>
      <c r="K268" t="s">
        <v>66</v>
      </c>
      <c r="L268" t="s">
        <v>74</v>
      </c>
      <c r="M268">
        <v>1</v>
      </c>
      <c r="N268"/>
      <c r="O268"/>
      <c r="P268" s="17">
        <f>Table11[[#This Row],[Gain/Loss]]</f>
        <v>29</v>
      </c>
      <c r="Q268" s="17">
        <f>IF(Table11[[#This Row],[Direction]]="L",0.5,IF(Table11[[#This Row],[Direction]]="M",1.5,2.5))</f>
        <v>2.5</v>
      </c>
      <c r="R268" s="17" t="str">
        <f>IF(Table11[[#This Row],[Direction]]="R","Right",IF(Table11[[#This Row],[Direction]]="L","Left","Middle"))</f>
        <v>Right</v>
      </c>
      <c r="S268" s="17">
        <f>IF(Table11[[#This Row],[Pass Zone]]="S",0.5,IF(Table11[[#This Row],[Pass Zone]]="M",1.5,2.5))</f>
        <v>2.5</v>
      </c>
      <c r="T268" s="139"/>
      <c r="U268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268" s="139"/>
      <c r="W268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</row>
    <row r="269" spans="1:23" x14ac:dyDescent="0.25">
      <c r="A269">
        <v>66</v>
      </c>
      <c r="B269">
        <v>1</v>
      </c>
      <c r="C269">
        <v>1</v>
      </c>
      <c r="D269">
        <v>5</v>
      </c>
      <c r="E269">
        <v>5</v>
      </c>
      <c r="F269">
        <v>5</v>
      </c>
      <c r="G269" t="s">
        <v>66</v>
      </c>
      <c r="J269" t="s">
        <v>12</v>
      </c>
      <c r="K269" t="s">
        <v>66</v>
      </c>
      <c r="L269" t="s">
        <v>74</v>
      </c>
      <c r="M269">
        <v>1</v>
      </c>
      <c r="N269"/>
      <c r="O269"/>
      <c r="P269" s="17">
        <f>Table11[[#This Row],[Gain/Loss]]</f>
        <v>5</v>
      </c>
      <c r="Q269" s="17">
        <f>IF(Table11[[#This Row],[Direction]]="L",0.5,IF(Table11[[#This Row],[Direction]]="M",1.5,2.5))</f>
        <v>2.5</v>
      </c>
      <c r="R269" s="17" t="str">
        <f>IF(Table11[[#This Row],[Direction]]="R","Right",IF(Table11[[#This Row],[Direction]]="L","Left","Middle"))</f>
        <v>Right</v>
      </c>
      <c r="S269" s="17">
        <f>IF(Table11[[#This Row],[Pass Zone]]="S",0.5,IF(Table11[[#This Row],[Pass Zone]]="M",1.5,2.5))</f>
        <v>2.5</v>
      </c>
      <c r="T269" s="139"/>
      <c r="U269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269" s="139"/>
      <c r="W269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Red Zone</v>
      </c>
    </row>
    <row r="270" spans="1:23" x14ac:dyDescent="0.25">
      <c r="A270">
        <v>100</v>
      </c>
      <c r="B270">
        <v>1</v>
      </c>
      <c r="C270">
        <v>1</v>
      </c>
      <c r="D270">
        <v>10</v>
      </c>
      <c r="E270">
        <v>-27</v>
      </c>
      <c r="F270">
        <v>23</v>
      </c>
      <c r="G270" t="s">
        <v>72</v>
      </c>
      <c r="H270" s="34"/>
      <c r="I270" s="34"/>
      <c r="J270" t="s">
        <v>13</v>
      </c>
      <c r="K270" t="s">
        <v>66</v>
      </c>
      <c r="L270"/>
      <c r="M270">
        <v>1</v>
      </c>
      <c r="N270">
        <v>1</v>
      </c>
      <c r="O270" t="s">
        <v>71</v>
      </c>
      <c r="P270" s="17">
        <f>Table11[[#This Row],[Gain/Loss]]</f>
        <v>23</v>
      </c>
      <c r="Q270" s="17">
        <f>IF(Table11[[#This Row],[Direction]]="L",0.5,IF(Table11[[#This Row],[Direction]]="M",1.5,2.5))</f>
        <v>2.5</v>
      </c>
      <c r="R270" s="17" t="str">
        <f>IF(Table11[[#This Row],[Direction]]="R","Right",IF(Table11[[#This Row],[Direction]]="L","Left","Middle"))</f>
        <v>Right</v>
      </c>
      <c r="S270" s="17">
        <f>IF(Table11[[#This Row],[Pass Zone]]="S",0.5,IF(Table11[[#This Row],[Pass Zone]]="M",1.5,2.5))</f>
        <v>2.5</v>
      </c>
      <c r="T270" s="140"/>
      <c r="U270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270" s="139"/>
      <c r="W270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271" spans="1:23" x14ac:dyDescent="0.25">
      <c r="A271">
        <v>101</v>
      </c>
      <c r="B271">
        <v>1</v>
      </c>
      <c r="C271">
        <v>1</v>
      </c>
      <c r="D271">
        <v>10</v>
      </c>
      <c r="E271">
        <v>50</v>
      </c>
      <c r="F271">
        <v>48</v>
      </c>
      <c r="G271" t="s">
        <v>66</v>
      </c>
      <c r="H271" s="34"/>
      <c r="I271" s="34"/>
      <c r="J271" t="s">
        <v>12</v>
      </c>
      <c r="K271" t="s">
        <v>72</v>
      </c>
      <c r="L271" t="s">
        <v>74</v>
      </c>
      <c r="M271">
        <v>1</v>
      </c>
      <c r="N271"/>
      <c r="O271"/>
      <c r="P271" s="17">
        <f>Table11[[#This Row],[Gain/Loss]]</f>
        <v>48</v>
      </c>
      <c r="Q271" s="17">
        <f>IF(Table11[[#This Row],[Direction]]="L",0.5,IF(Table11[[#This Row],[Direction]]="M",1.5,2.5))</f>
        <v>0.5</v>
      </c>
      <c r="R271" s="17" t="str">
        <f>IF(Table11[[#This Row],[Direction]]="R","Right",IF(Table11[[#This Row],[Direction]]="L","Left","Middle"))</f>
        <v>Left</v>
      </c>
      <c r="S271" s="17">
        <f>IF(Table11[[#This Row],[Pass Zone]]="S",0.5,IF(Table11[[#This Row],[Pass Zone]]="M",1.5,2.5))</f>
        <v>2.5</v>
      </c>
      <c r="T271" s="140"/>
      <c r="U271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271" s="139"/>
      <c r="W271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</row>
    <row r="272" spans="1:23" x14ac:dyDescent="0.25">
      <c r="A272">
        <v>102</v>
      </c>
      <c r="B272">
        <v>1</v>
      </c>
      <c r="C272">
        <v>1</v>
      </c>
      <c r="D272">
        <v>2</v>
      </c>
      <c r="E272">
        <v>2</v>
      </c>
      <c r="F272">
        <v>0</v>
      </c>
      <c r="G272" t="s">
        <v>66</v>
      </c>
      <c r="H272" s="34"/>
      <c r="I272" s="34"/>
      <c r="J272" t="s">
        <v>12</v>
      </c>
      <c r="K272" t="s">
        <v>66</v>
      </c>
      <c r="L272" t="s">
        <v>74</v>
      </c>
      <c r="M272">
        <v>1</v>
      </c>
      <c r="N272"/>
      <c r="O272"/>
      <c r="P272" s="17">
        <f>Table11[[#This Row],[Gain/Loss]]</f>
        <v>0</v>
      </c>
      <c r="Q272" s="17">
        <f>IF(Table11[[#This Row],[Direction]]="L",0.5,IF(Table11[[#This Row],[Direction]]="M",1.5,2.5))</f>
        <v>2.5</v>
      </c>
      <c r="R272" s="17" t="str">
        <f>IF(Table11[[#This Row],[Direction]]="R","Right",IF(Table11[[#This Row],[Direction]]="L","Left","Middle"))</f>
        <v>Right</v>
      </c>
      <c r="S272" s="17">
        <f>IF(Table11[[#This Row],[Pass Zone]]="S",0.5,IF(Table11[[#This Row],[Pass Zone]]="M",1.5,2.5))</f>
        <v>2.5</v>
      </c>
      <c r="T272" s="140"/>
      <c r="U272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272" s="139"/>
      <c r="W272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Goal Line</v>
      </c>
    </row>
    <row r="273" spans="1:23" x14ac:dyDescent="0.25">
      <c r="A273">
        <v>104</v>
      </c>
      <c r="B273">
        <v>2</v>
      </c>
      <c r="C273">
        <v>2</v>
      </c>
      <c r="D273">
        <v>2</v>
      </c>
      <c r="E273">
        <v>2</v>
      </c>
      <c r="F273">
        <v>-3</v>
      </c>
      <c r="G273" t="s">
        <v>66</v>
      </c>
      <c r="H273" s="34"/>
      <c r="I273" s="34"/>
      <c r="J273" t="s">
        <v>12</v>
      </c>
      <c r="K273" t="s">
        <v>72</v>
      </c>
      <c r="L273" t="s">
        <v>74</v>
      </c>
      <c r="M273">
        <v>1</v>
      </c>
      <c r="N273"/>
      <c r="O273"/>
      <c r="P273" s="17">
        <f>Table11[[#This Row],[Gain/Loss]]</f>
        <v>-3</v>
      </c>
      <c r="Q273" s="17">
        <f>IF(Table11[[#This Row],[Direction]]="L",0.5,IF(Table11[[#This Row],[Direction]]="M",1.5,2.5))</f>
        <v>0.5</v>
      </c>
      <c r="R273" s="17" t="str">
        <f>IF(Table11[[#This Row],[Direction]]="R","Right",IF(Table11[[#This Row],[Direction]]="L","Left","Middle"))</f>
        <v>Left</v>
      </c>
      <c r="S273" s="17">
        <f>IF(Table11[[#This Row],[Pass Zone]]="S",0.5,IF(Table11[[#This Row],[Pass Zone]]="M",1.5,2.5))</f>
        <v>2.5</v>
      </c>
      <c r="T273" s="140"/>
      <c r="U273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273" s="139"/>
      <c r="W273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Goal Line</v>
      </c>
    </row>
    <row r="274" spans="1:23" x14ac:dyDescent="0.25">
      <c r="A274">
        <v>108</v>
      </c>
      <c r="B274">
        <v>3</v>
      </c>
      <c r="C274">
        <v>3</v>
      </c>
      <c r="D274">
        <v>15</v>
      </c>
      <c r="E274">
        <v>15</v>
      </c>
      <c r="F274">
        <v>0</v>
      </c>
      <c r="G274" t="s">
        <v>72</v>
      </c>
      <c r="H274" s="34"/>
      <c r="I274" s="34"/>
      <c r="J274" t="s">
        <v>13</v>
      </c>
      <c r="K274" t="s">
        <v>66</v>
      </c>
      <c r="L274"/>
      <c r="M274">
        <v>1</v>
      </c>
      <c r="N274">
        <v>0</v>
      </c>
      <c r="O274"/>
      <c r="P274" s="17">
        <f>Table11[[#This Row],[Gain/Loss]]</f>
        <v>0</v>
      </c>
      <c r="Q274" s="17">
        <f>IF(Table11[[#This Row],[Direction]]="L",0.5,IF(Table11[[#This Row],[Direction]]="M",1.5,2.5))</f>
        <v>2.5</v>
      </c>
      <c r="R274" s="17" t="str">
        <f>IF(Table11[[#This Row],[Direction]]="R","Right",IF(Table11[[#This Row],[Direction]]="L","Left","Middle"))</f>
        <v>Right</v>
      </c>
      <c r="S274" s="17">
        <f>IF(Table11[[#This Row],[Pass Zone]]="S",0.5,IF(Table11[[#This Row],[Pass Zone]]="M",1.5,2.5))</f>
        <v>2.5</v>
      </c>
      <c r="T274" s="140"/>
      <c r="U274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274" s="139"/>
      <c r="W274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Red Zone</v>
      </c>
    </row>
    <row r="275" spans="1:23" x14ac:dyDescent="0.25">
      <c r="A275">
        <v>117</v>
      </c>
      <c r="B275">
        <v>1</v>
      </c>
      <c r="C275">
        <v>1</v>
      </c>
      <c r="D275">
        <v>10</v>
      </c>
      <c r="E275">
        <v>33</v>
      </c>
      <c r="F275">
        <v>-1</v>
      </c>
      <c r="G275" t="s">
        <v>72</v>
      </c>
      <c r="H275" s="34"/>
      <c r="I275" s="34"/>
      <c r="J275" t="s">
        <v>12</v>
      </c>
      <c r="K275" t="s">
        <v>72</v>
      </c>
      <c r="L275" t="s">
        <v>74</v>
      </c>
      <c r="M275">
        <v>1</v>
      </c>
      <c r="N275"/>
      <c r="O275"/>
      <c r="P275" s="17">
        <f>Table11[[#This Row],[Gain/Loss]]</f>
        <v>-1</v>
      </c>
      <c r="Q275" s="17">
        <f>IF(Table11[[#This Row],[Direction]]="L",0.5,IF(Table11[[#This Row],[Direction]]="M",1.5,2.5))</f>
        <v>0.5</v>
      </c>
      <c r="R275" s="17" t="str">
        <f>IF(Table11[[#This Row],[Direction]]="R","Right",IF(Table11[[#This Row],[Direction]]="L","Left","Middle"))</f>
        <v>Left</v>
      </c>
      <c r="S275" s="17">
        <f>IF(Table11[[#This Row],[Pass Zone]]="S",0.5,IF(Table11[[#This Row],[Pass Zone]]="M",1.5,2.5))</f>
        <v>2.5</v>
      </c>
      <c r="T275" s="140"/>
      <c r="U275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275" s="139"/>
      <c r="W275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</row>
    <row r="276" spans="1:23" x14ac:dyDescent="0.25">
      <c r="A276">
        <v>118</v>
      </c>
      <c r="B276">
        <v>2</v>
      </c>
      <c r="C276">
        <v>2</v>
      </c>
      <c r="D276">
        <v>11</v>
      </c>
      <c r="E276">
        <v>34</v>
      </c>
      <c r="F276">
        <v>2</v>
      </c>
      <c r="G276" t="s">
        <v>72</v>
      </c>
      <c r="H276" s="34"/>
      <c r="I276" s="34"/>
      <c r="J276" t="s">
        <v>12</v>
      </c>
      <c r="K276" t="s">
        <v>66</v>
      </c>
      <c r="L276" t="s">
        <v>74</v>
      </c>
      <c r="M276">
        <v>1</v>
      </c>
      <c r="N276"/>
      <c r="O276"/>
      <c r="P276" s="17">
        <f>Table11[[#This Row],[Gain/Loss]]</f>
        <v>2</v>
      </c>
      <c r="Q276" s="17">
        <f>IF(Table11[[#This Row],[Direction]]="L",0.5,IF(Table11[[#This Row],[Direction]]="M",1.5,2.5))</f>
        <v>2.5</v>
      </c>
      <c r="R276" s="17" t="str">
        <f>IF(Table11[[#This Row],[Direction]]="R","Right",IF(Table11[[#This Row],[Direction]]="L","Left","Middle"))</f>
        <v>Right</v>
      </c>
      <c r="S276" s="17">
        <f>IF(Table11[[#This Row],[Pass Zone]]="S",0.5,IF(Table11[[#This Row],[Pass Zone]]="M",1.5,2.5))</f>
        <v>2.5</v>
      </c>
      <c r="T276" s="140"/>
      <c r="U276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276" s="139"/>
      <c r="W276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</row>
    <row r="277" spans="1:23" x14ac:dyDescent="0.25">
      <c r="A277">
        <v>119</v>
      </c>
      <c r="B277">
        <v>3</v>
      </c>
      <c r="C277">
        <v>3</v>
      </c>
      <c r="D277">
        <v>9</v>
      </c>
      <c r="E277">
        <v>32</v>
      </c>
      <c r="F277">
        <v>0</v>
      </c>
      <c r="G277" t="s">
        <v>66</v>
      </c>
      <c r="H277" s="34"/>
      <c r="I277" s="34"/>
      <c r="J277" t="s">
        <v>13</v>
      </c>
      <c r="K277" t="s">
        <v>72</v>
      </c>
      <c r="L277"/>
      <c r="M277">
        <v>1</v>
      </c>
      <c r="N277">
        <v>0</v>
      </c>
      <c r="O277"/>
      <c r="P277" s="17">
        <f>Table11[[#This Row],[Gain/Loss]]</f>
        <v>0</v>
      </c>
      <c r="Q277" s="17">
        <f>IF(Table11[[#This Row],[Direction]]="L",0.5,IF(Table11[[#This Row],[Direction]]="M",1.5,2.5))</f>
        <v>0.5</v>
      </c>
      <c r="R277" s="17" t="str">
        <f>IF(Table11[[#This Row],[Direction]]="R","Right",IF(Table11[[#This Row],[Direction]]="L","Left","Middle"))</f>
        <v>Left</v>
      </c>
      <c r="S277" s="17">
        <f>IF(Table11[[#This Row],[Pass Zone]]="S",0.5,IF(Table11[[#This Row],[Pass Zone]]="M",1.5,2.5))</f>
        <v>2.5</v>
      </c>
      <c r="T277" s="140"/>
      <c r="U277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277" s="139"/>
      <c r="W277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</row>
    <row r="278" spans="1:23" x14ac:dyDescent="0.25">
      <c r="A278">
        <v>134</v>
      </c>
      <c r="B278">
        <v>1</v>
      </c>
      <c r="C278">
        <v>1</v>
      </c>
      <c r="D278">
        <v>10</v>
      </c>
      <c r="E278">
        <v>-34</v>
      </c>
      <c r="F278">
        <v>0</v>
      </c>
      <c r="G278" t="s">
        <v>66</v>
      </c>
      <c r="H278" s="34"/>
      <c r="I278" s="34"/>
      <c r="J278" t="s">
        <v>12</v>
      </c>
      <c r="K278" t="s">
        <v>72</v>
      </c>
      <c r="L278" t="s">
        <v>74</v>
      </c>
      <c r="M278">
        <v>1</v>
      </c>
      <c r="N278"/>
      <c r="O278"/>
      <c r="P278" s="17">
        <f>Table11[[#This Row],[Gain/Loss]]</f>
        <v>0</v>
      </c>
      <c r="Q278" s="17">
        <f>IF(Table11[[#This Row],[Direction]]="L",0.5,IF(Table11[[#This Row],[Direction]]="M",1.5,2.5))</f>
        <v>0.5</v>
      </c>
      <c r="R278" s="17" t="str">
        <f>IF(Table11[[#This Row],[Direction]]="R","Right",IF(Table11[[#This Row],[Direction]]="L","Left","Middle"))</f>
        <v>Left</v>
      </c>
      <c r="S278" s="17">
        <f>IF(Table11[[#This Row],[Pass Zone]]="S",0.5,IF(Table11[[#This Row],[Pass Zone]]="M",1.5,2.5))</f>
        <v>2.5</v>
      </c>
      <c r="T278" s="140"/>
      <c r="U278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278" s="139"/>
      <c r="W278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279" spans="1:23" x14ac:dyDescent="0.25">
      <c r="A279">
        <v>135</v>
      </c>
      <c r="B279">
        <v>2</v>
      </c>
      <c r="C279">
        <v>2</v>
      </c>
      <c r="D279">
        <v>10</v>
      </c>
      <c r="E279">
        <v>-34</v>
      </c>
      <c r="F279">
        <v>2</v>
      </c>
      <c r="G279" t="s">
        <v>70</v>
      </c>
      <c r="H279" s="34"/>
      <c r="I279" s="34"/>
      <c r="J279" t="s">
        <v>12</v>
      </c>
      <c r="K279" t="s">
        <v>72</v>
      </c>
      <c r="L279" t="s">
        <v>74</v>
      </c>
      <c r="M279">
        <v>1</v>
      </c>
      <c r="N279"/>
      <c r="O279"/>
      <c r="P279" s="17">
        <f>Table11[[#This Row],[Gain/Loss]]</f>
        <v>2</v>
      </c>
      <c r="Q279" s="17">
        <f>IF(Table11[[#This Row],[Direction]]="L",0.5,IF(Table11[[#This Row],[Direction]]="M",1.5,2.5))</f>
        <v>0.5</v>
      </c>
      <c r="R279" s="17" t="str">
        <f>IF(Table11[[#This Row],[Direction]]="R","Right",IF(Table11[[#This Row],[Direction]]="L","Left","Middle"))</f>
        <v>Left</v>
      </c>
      <c r="S279" s="17">
        <f>IF(Table11[[#This Row],[Pass Zone]]="S",0.5,IF(Table11[[#This Row],[Pass Zone]]="M",1.5,2.5))</f>
        <v>2.5</v>
      </c>
      <c r="T279" s="140"/>
      <c r="U279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279" s="139"/>
      <c r="W279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280" spans="1:23" x14ac:dyDescent="0.25">
      <c r="A280">
        <v>136</v>
      </c>
      <c r="B280">
        <v>3</v>
      </c>
      <c r="C280">
        <v>3</v>
      </c>
      <c r="D280">
        <v>8</v>
      </c>
      <c r="E280">
        <v>-36</v>
      </c>
      <c r="F280">
        <v>-9</v>
      </c>
      <c r="G280" t="s">
        <v>66</v>
      </c>
      <c r="H280" s="34"/>
      <c r="I280" s="34"/>
      <c r="J280" t="s">
        <v>13</v>
      </c>
      <c r="K280" t="s">
        <v>70</v>
      </c>
      <c r="L280"/>
      <c r="M280">
        <v>1</v>
      </c>
      <c r="N280">
        <v>0</v>
      </c>
      <c r="O280" t="s">
        <v>67</v>
      </c>
      <c r="P280" s="17">
        <f>Table11[[#This Row],[Gain/Loss]]</f>
        <v>-9</v>
      </c>
      <c r="Q280" s="17">
        <f>IF(Table11[[#This Row],[Direction]]="L",0.5,IF(Table11[[#This Row],[Direction]]="M",1.5,2.5))</f>
        <v>1.5</v>
      </c>
      <c r="R280" s="17" t="str">
        <f>IF(Table11[[#This Row],[Direction]]="R","Right",IF(Table11[[#This Row],[Direction]]="L","Left","Middle"))</f>
        <v>Middle</v>
      </c>
      <c r="S280" s="17">
        <f>IF(Table11[[#This Row],[Pass Zone]]="S",0.5,IF(Table11[[#This Row],[Pass Zone]]="M",1.5,2.5))</f>
        <v>0.5</v>
      </c>
      <c r="T280" s="140"/>
      <c r="U280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280" s="139"/>
      <c r="W280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281" spans="1:23" x14ac:dyDescent="0.25">
      <c r="A281">
        <v>143</v>
      </c>
      <c r="B281">
        <v>1</v>
      </c>
      <c r="C281">
        <v>1</v>
      </c>
      <c r="D281">
        <v>10</v>
      </c>
      <c r="E281">
        <v>42</v>
      </c>
      <c r="F281">
        <v>0</v>
      </c>
      <c r="G281" t="s">
        <v>66</v>
      </c>
      <c r="H281" s="34"/>
      <c r="I281" s="34"/>
      <c r="J281" t="s">
        <v>12</v>
      </c>
      <c r="K281" t="s">
        <v>66</v>
      </c>
      <c r="L281" t="s">
        <v>74</v>
      </c>
      <c r="M281">
        <v>1</v>
      </c>
      <c r="N281"/>
      <c r="O281"/>
      <c r="P281" s="17">
        <f>Table11[[#This Row],[Gain/Loss]]</f>
        <v>0</v>
      </c>
      <c r="Q281" s="17">
        <f>IF(Table11[[#This Row],[Direction]]="L",0.5,IF(Table11[[#This Row],[Direction]]="M",1.5,2.5))</f>
        <v>2.5</v>
      </c>
      <c r="R281" s="17" t="str">
        <f>IF(Table11[[#This Row],[Direction]]="R","Right",IF(Table11[[#This Row],[Direction]]="L","Left","Middle"))</f>
        <v>Right</v>
      </c>
      <c r="S281" s="17">
        <f>IF(Table11[[#This Row],[Pass Zone]]="S",0.5,IF(Table11[[#This Row],[Pass Zone]]="M",1.5,2.5))</f>
        <v>2.5</v>
      </c>
      <c r="T281" s="140"/>
      <c r="U281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281" s="139"/>
      <c r="W281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</row>
    <row r="282" spans="1:23" x14ac:dyDescent="0.25">
      <c r="A282">
        <v>144</v>
      </c>
      <c r="B282">
        <v>2</v>
      </c>
      <c r="C282">
        <v>2</v>
      </c>
      <c r="D282">
        <v>10</v>
      </c>
      <c r="E282">
        <v>42</v>
      </c>
      <c r="F282">
        <v>13</v>
      </c>
      <c r="G282" t="s">
        <v>66</v>
      </c>
      <c r="H282" s="34"/>
      <c r="I282" s="34"/>
      <c r="J282" t="s">
        <v>13</v>
      </c>
      <c r="K282" t="s">
        <v>72</v>
      </c>
      <c r="L282"/>
      <c r="M282">
        <v>1</v>
      </c>
      <c r="N282">
        <v>1</v>
      </c>
      <c r="O282" t="s">
        <v>71</v>
      </c>
      <c r="P282" s="17">
        <f>Table11[[#This Row],[Gain/Loss]]</f>
        <v>13</v>
      </c>
      <c r="Q282" s="17">
        <f>IF(Table11[[#This Row],[Direction]]="L",0.5,IF(Table11[[#This Row],[Direction]]="M",1.5,2.5))</f>
        <v>0.5</v>
      </c>
      <c r="R282" s="17" t="str">
        <f>IF(Table11[[#This Row],[Direction]]="R","Right",IF(Table11[[#This Row],[Direction]]="L","Left","Middle"))</f>
        <v>Left</v>
      </c>
      <c r="S282" s="17">
        <f>IF(Table11[[#This Row],[Pass Zone]]="S",0.5,IF(Table11[[#This Row],[Pass Zone]]="M",1.5,2.5))</f>
        <v>2.5</v>
      </c>
      <c r="T282" s="140"/>
      <c r="U282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282" s="139"/>
      <c r="W282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</row>
    <row r="283" spans="1:23" x14ac:dyDescent="0.25">
      <c r="A283">
        <v>145</v>
      </c>
      <c r="B283">
        <v>1</v>
      </c>
      <c r="C283">
        <v>1</v>
      </c>
      <c r="D283">
        <v>10</v>
      </c>
      <c r="E283">
        <v>29</v>
      </c>
      <c r="F283">
        <v>0</v>
      </c>
      <c r="G283" t="s">
        <v>72</v>
      </c>
      <c r="H283"/>
      <c r="I283"/>
      <c r="J283" t="s">
        <v>13</v>
      </c>
      <c r="K283" t="s">
        <v>66</v>
      </c>
      <c r="L283"/>
      <c r="M283">
        <v>1</v>
      </c>
      <c r="N283">
        <v>0</v>
      </c>
      <c r="O283"/>
      <c r="P283" s="17">
        <f>Table11[[#This Row],[Gain/Loss]]</f>
        <v>0</v>
      </c>
      <c r="Q283" s="17">
        <f>IF(Table11[[#This Row],[Direction]]="L",0.5,IF(Table11[[#This Row],[Direction]]="M",1.5,2.5))</f>
        <v>2.5</v>
      </c>
      <c r="R283" s="17" t="str">
        <f>IF(Table11[[#This Row],[Direction]]="R","Right",IF(Table11[[#This Row],[Direction]]="L","Left","Middle"))</f>
        <v>Right</v>
      </c>
      <c r="S283" s="17">
        <f>IF(Table11[[#This Row],[Pass Zone]]="S",0.5,IF(Table11[[#This Row],[Pass Zone]]="M",1.5,2.5))</f>
        <v>2.5</v>
      </c>
      <c r="T283"/>
      <c r="U283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283"/>
      <c r="W283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</row>
    <row r="284" spans="1:23" x14ac:dyDescent="0.25">
      <c r="A284">
        <v>152</v>
      </c>
      <c r="B284">
        <v>1</v>
      </c>
      <c r="C284">
        <v>1</v>
      </c>
      <c r="D284">
        <v>10</v>
      </c>
      <c r="E284">
        <v>-30</v>
      </c>
      <c r="F284">
        <v>16</v>
      </c>
      <c r="G284" t="s">
        <v>66</v>
      </c>
      <c r="H284"/>
      <c r="I284"/>
      <c r="J284" t="s">
        <v>12</v>
      </c>
      <c r="K284" t="s">
        <v>66</v>
      </c>
      <c r="L284" t="s">
        <v>74</v>
      </c>
      <c r="M284">
        <v>1</v>
      </c>
      <c r="N284"/>
      <c r="O284"/>
      <c r="P284" s="17">
        <f>Table11[[#This Row],[Gain/Loss]]</f>
        <v>16</v>
      </c>
      <c r="Q284" s="17">
        <f>IF(Table11[[#This Row],[Direction]]="L",0.5,IF(Table11[[#This Row],[Direction]]="M",1.5,2.5))</f>
        <v>2.5</v>
      </c>
      <c r="R284" s="17" t="str">
        <f>IF(Table11[[#This Row],[Direction]]="R","Right",IF(Table11[[#This Row],[Direction]]="L","Left","Middle"))</f>
        <v>Right</v>
      </c>
      <c r="S284" s="17">
        <f>IF(Table11[[#This Row],[Pass Zone]]="S",0.5,IF(Table11[[#This Row],[Pass Zone]]="M",1.5,2.5))</f>
        <v>2.5</v>
      </c>
      <c r="T284"/>
      <c r="U284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284"/>
      <c r="W284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285" spans="1:23" x14ac:dyDescent="0.25">
      <c r="A285">
        <v>153</v>
      </c>
      <c r="B285">
        <v>1</v>
      </c>
      <c r="C285">
        <v>1</v>
      </c>
      <c r="D285">
        <v>10</v>
      </c>
      <c r="E285">
        <v>-46</v>
      </c>
      <c r="F285">
        <v>-4</v>
      </c>
      <c r="G285" t="s">
        <v>66</v>
      </c>
      <c r="H285"/>
      <c r="I285"/>
      <c r="J285" t="s">
        <v>12</v>
      </c>
      <c r="K285" t="s">
        <v>72</v>
      </c>
      <c r="L285" t="s">
        <v>74</v>
      </c>
      <c r="M285">
        <v>1</v>
      </c>
      <c r="N285"/>
      <c r="O285"/>
      <c r="P285" s="17">
        <f>Table11[[#This Row],[Gain/Loss]]</f>
        <v>-4</v>
      </c>
      <c r="Q285" s="17">
        <f>IF(Table11[[#This Row],[Direction]]="L",0.5,IF(Table11[[#This Row],[Direction]]="M",1.5,2.5))</f>
        <v>0.5</v>
      </c>
      <c r="R285" s="17" t="str">
        <f>IF(Table11[[#This Row],[Direction]]="R","Right",IF(Table11[[#This Row],[Direction]]="L","Left","Middle"))</f>
        <v>Left</v>
      </c>
      <c r="S285" s="17">
        <f>IF(Table11[[#This Row],[Pass Zone]]="S",0.5,IF(Table11[[#This Row],[Pass Zone]]="M",1.5,2.5))</f>
        <v>2.5</v>
      </c>
      <c r="T285"/>
      <c r="U285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285"/>
      <c r="W285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286" spans="1:23" x14ac:dyDescent="0.25">
      <c r="A286">
        <v>154</v>
      </c>
      <c r="B286">
        <v>2</v>
      </c>
      <c r="C286">
        <v>2</v>
      </c>
      <c r="D286">
        <v>14</v>
      </c>
      <c r="E286">
        <v>-42</v>
      </c>
      <c r="F286">
        <v>0</v>
      </c>
      <c r="G286" t="s">
        <v>66</v>
      </c>
      <c r="H286"/>
      <c r="I286"/>
      <c r="J286" t="s">
        <v>12</v>
      </c>
      <c r="K286" t="s">
        <v>66</v>
      </c>
      <c r="L286" t="s">
        <v>74</v>
      </c>
      <c r="M286">
        <v>1</v>
      </c>
      <c r="N286"/>
      <c r="O286"/>
      <c r="P286" s="17">
        <f>Table11[[#This Row],[Gain/Loss]]</f>
        <v>0</v>
      </c>
      <c r="Q286" s="17">
        <f>IF(Table11[[#This Row],[Direction]]="L",0.5,IF(Table11[[#This Row],[Direction]]="M",1.5,2.5))</f>
        <v>2.5</v>
      </c>
      <c r="R286" s="17" t="str">
        <f>IF(Table11[[#This Row],[Direction]]="R","Right",IF(Table11[[#This Row],[Direction]]="L","Left","Middle"))</f>
        <v>Right</v>
      </c>
      <c r="S286" s="17">
        <f>IF(Table11[[#This Row],[Pass Zone]]="S",0.5,IF(Table11[[#This Row],[Pass Zone]]="M",1.5,2.5))</f>
        <v>2.5</v>
      </c>
      <c r="T286"/>
      <c r="U286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286"/>
      <c r="W286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287" spans="1:23" x14ac:dyDescent="0.25">
      <c r="A287">
        <v>155</v>
      </c>
      <c r="B287">
        <v>3</v>
      </c>
      <c r="C287">
        <v>3</v>
      </c>
      <c r="D287">
        <v>14</v>
      </c>
      <c r="E287">
        <v>-42</v>
      </c>
      <c r="F287">
        <v>5</v>
      </c>
      <c r="G287" t="s">
        <v>66</v>
      </c>
      <c r="H287"/>
      <c r="I287"/>
      <c r="J287" t="s">
        <v>13</v>
      </c>
      <c r="K287" t="s">
        <v>72</v>
      </c>
      <c r="L287"/>
      <c r="M287">
        <v>1</v>
      </c>
      <c r="N287">
        <v>1</v>
      </c>
      <c r="O287" t="s">
        <v>67</v>
      </c>
      <c r="P287" s="17">
        <f>Table11[[#This Row],[Gain/Loss]]</f>
        <v>5</v>
      </c>
      <c r="Q287" s="17">
        <f>IF(Table11[[#This Row],[Direction]]="L",0.5,IF(Table11[[#This Row],[Direction]]="M",1.5,2.5))</f>
        <v>0.5</v>
      </c>
      <c r="R287" s="17" t="str">
        <f>IF(Table11[[#This Row],[Direction]]="R","Right",IF(Table11[[#This Row],[Direction]]="L","Left","Middle"))</f>
        <v>Left</v>
      </c>
      <c r="S287" s="17">
        <f>IF(Table11[[#This Row],[Pass Zone]]="S",0.5,IF(Table11[[#This Row],[Pass Zone]]="M",1.5,2.5))</f>
        <v>0.5</v>
      </c>
      <c r="T287"/>
      <c r="U287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287"/>
      <c r="W287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288" spans="1:23" x14ac:dyDescent="0.25">
      <c r="A288">
        <v>175</v>
      </c>
      <c r="B288">
        <v>1</v>
      </c>
      <c r="C288">
        <v>1</v>
      </c>
      <c r="D288">
        <v>20</v>
      </c>
      <c r="E288">
        <v>-2</v>
      </c>
      <c r="F288">
        <v>12</v>
      </c>
      <c r="G288" t="s">
        <v>72</v>
      </c>
      <c r="H288"/>
      <c r="I288"/>
      <c r="J288" t="s">
        <v>12</v>
      </c>
      <c r="K288" t="s">
        <v>66</v>
      </c>
      <c r="L288" t="s">
        <v>74</v>
      </c>
      <c r="M288">
        <v>1</v>
      </c>
      <c r="N288"/>
      <c r="O288"/>
      <c r="P288" s="17">
        <f>Table11[[#This Row],[Gain/Loss]]</f>
        <v>12</v>
      </c>
      <c r="Q288" s="17">
        <f>IF(Table11[[#This Row],[Direction]]="L",0.5,IF(Table11[[#This Row],[Direction]]="M",1.5,2.5))</f>
        <v>2.5</v>
      </c>
      <c r="R288" s="17" t="str">
        <f>IF(Table11[[#This Row],[Direction]]="R","Right",IF(Table11[[#This Row],[Direction]]="L","Left","Middle"))</f>
        <v>Right</v>
      </c>
      <c r="S288" s="17">
        <f>IF(Table11[[#This Row],[Pass Zone]]="S",0.5,IF(Table11[[#This Row],[Pass Zone]]="M",1.5,2.5))</f>
        <v>2.5</v>
      </c>
      <c r="T288"/>
      <c r="U288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288"/>
      <c r="W288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0-20</v>
      </c>
    </row>
    <row r="289" spans="1:23" x14ac:dyDescent="0.25">
      <c r="A289">
        <v>176</v>
      </c>
      <c r="B289">
        <v>2</v>
      </c>
      <c r="C289">
        <v>2</v>
      </c>
      <c r="D289">
        <v>8</v>
      </c>
      <c r="E289">
        <v>-14</v>
      </c>
      <c r="F289">
        <v>11</v>
      </c>
      <c r="G289" t="s">
        <v>70</v>
      </c>
      <c r="H289"/>
      <c r="I289"/>
      <c r="J289" t="s">
        <v>12</v>
      </c>
      <c r="K289" t="s">
        <v>66</v>
      </c>
      <c r="L289" t="s">
        <v>74</v>
      </c>
      <c r="M289">
        <v>1</v>
      </c>
      <c r="N289"/>
      <c r="O289"/>
      <c r="P289" s="17">
        <f>Table11[[#This Row],[Gain/Loss]]</f>
        <v>11</v>
      </c>
      <c r="Q289" s="17">
        <f>IF(Table11[[#This Row],[Direction]]="L",0.5,IF(Table11[[#This Row],[Direction]]="M",1.5,2.5))</f>
        <v>2.5</v>
      </c>
      <c r="R289" s="17" t="str">
        <f>IF(Table11[[#This Row],[Direction]]="R","Right",IF(Table11[[#This Row],[Direction]]="L","Left","Middle"))</f>
        <v>Right</v>
      </c>
      <c r="S289" s="17">
        <f>IF(Table11[[#This Row],[Pass Zone]]="S",0.5,IF(Table11[[#This Row],[Pass Zone]]="M",1.5,2.5))</f>
        <v>2.5</v>
      </c>
      <c r="T289"/>
      <c r="U289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289"/>
      <c r="W289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0-20</v>
      </c>
    </row>
    <row r="290" spans="1:23" x14ac:dyDescent="0.25">
      <c r="A290">
        <v>183</v>
      </c>
      <c r="B290">
        <v>1</v>
      </c>
      <c r="C290">
        <v>1</v>
      </c>
      <c r="D290">
        <v>31</v>
      </c>
      <c r="E290">
        <v>-4</v>
      </c>
      <c r="F290">
        <v>4</v>
      </c>
      <c r="G290" t="s">
        <v>72</v>
      </c>
      <c r="H290"/>
      <c r="I290"/>
      <c r="J290" t="s">
        <v>12</v>
      </c>
      <c r="K290" t="s">
        <v>72</v>
      </c>
      <c r="L290" t="s">
        <v>74</v>
      </c>
      <c r="M290">
        <v>1</v>
      </c>
      <c r="N290"/>
      <c r="O290"/>
      <c r="P290" s="17">
        <f>Table11[[#This Row],[Gain/Loss]]</f>
        <v>4</v>
      </c>
      <c r="Q290" s="17">
        <f>IF(Table11[[#This Row],[Direction]]="L",0.5,IF(Table11[[#This Row],[Direction]]="M",1.5,2.5))</f>
        <v>0.5</v>
      </c>
      <c r="R290" s="17" t="str">
        <f>IF(Table11[[#This Row],[Direction]]="R","Right",IF(Table11[[#This Row],[Direction]]="L","Left","Middle"))</f>
        <v>Left</v>
      </c>
      <c r="S290" s="17">
        <f>IF(Table11[[#This Row],[Pass Zone]]="S",0.5,IF(Table11[[#This Row],[Pass Zone]]="M",1.5,2.5))</f>
        <v>2.5</v>
      </c>
      <c r="T290"/>
      <c r="U290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290"/>
      <c r="W290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0-20</v>
      </c>
    </row>
    <row r="291" spans="1:23" x14ac:dyDescent="0.25">
      <c r="A291">
        <v>184</v>
      </c>
      <c r="B291">
        <v>2</v>
      </c>
      <c r="C291">
        <v>2</v>
      </c>
      <c r="D291">
        <v>27</v>
      </c>
      <c r="E291">
        <v>-8</v>
      </c>
      <c r="F291">
        <v>22</v>
      </c>
      <c r="G291" t="s">
        <v>72</v>
      </c>
      <c r="H291"/>
      <c r="I291"/>
      <c r="J291" t="s">
        <v>13</v>
      </c>
      <c r="K291" t="s">
        <v>66</v>
      </c>
      <c r="L291"/>
      <c r="M291">
        <v>1</v>
      </c>
      <c r="N291">
        <v>1</v>
      </c>
      <c r="O291" t="s">
        <v>71</v>
      </c>
      <c r="P291" s="17">
        <f>Table11[[#This Row],[Gain/Loss]]</f>
        <v>22</v>
      </c>
      <c r="Q291" s="17">
        <f>IF(Table11[[#This Row],[Direction]]="L",0.5,IF(Table11[[#This Row],[Direction]]="M",1.5,2.5))</f>
        <v>2.5</v>
      </c>
      <c r="R291" s="17" t="str">
        <f>IF(Table11[[#This Row],[Direction]]="R","Right",IF(Table11[[#This Row],[Direction]]="L","Left","Middle"))</f>
        <v>Right</v>
      </c>
      <c r="S291" s="17">
        <f>IF(Table11[[#This Row],[Pass Zone]]="S",0.5,IF(Table11[[#This Row],[Pass Zone]]="M",1.5,2.5))</f>
        <v>2.5</v>
      </c>
      <c r="T291"/>
      <c r="U291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291"/>
      <c r="W291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0-20</v>
      </c>
    </row>
    <row r="292" spans="1:23" x14ac:dyDescent="0.25">
      <c r="A292">
        <v>185</v>
      </c>
      <c r="B292">
        <v>3</v>
      </c>
      <c r="C292">
        <v>3</v>
      </c>
      <c r="D292">
        <v>10</v>
      </c>
      <c r="E292">
        <v>-30</v>
      </c>
      <c r="F292">
        <v>-11</v>
      </c>
      <c r="G292" t="s">
        <v>66</v>
      </c>
      <c r="H292"/>
      <c r="I292"/>
      <c r="J292" t="s">
        <v>13</v>
      </c>
      <c r="K292" t="s">
        <v>70</v>
      </c>
      <c r="L292"/>
      <c r="M292">
        <v>1</v>
      </c>
      <c r="N292">
        <v>0</v>
      </c>
      <c r="O292" t="s">
        <v>67</v>
      </c>
      <c r="P292" s="17">
        <f>Table11[[#This Row],[Gain/Loss]]</f>
        <v>-11</v>
      </c>
      <c r="Q292" s="17">
        <f>IF(Table11[[#This Row],[Direction]]="L",0.5,IF(Table11[[#This Row],[Direction]]="M",1.5,2.5))</f>
        <v>1.5</v>
      </c>
      <c r="R292" s="17" t="str">
        <f>IF(Table11[[#This Row],[Direction]]="R","Right",IF(Table11[[#This Row],[Direction]]="L","Left","Middle"))</f>
        <v>Middle</v>
      </c>
      <c r="S292" s="17">
        <f>IF(Table11[[#This Row],[Pass Zone]]="S",0.5,IF(Table11[[#This Row],[Pass Zone]]="M",1.5,2.5))</f>
        <v>0.5</v>
      </c>
      <c r="T292"/>
      <c r="U292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292"/>
      <c r="W292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293" spans="1:23" x14ac:dyDescent="0.25">
      <c r="A293">
        <v>199</v>
      </c>
      <c r="B293">
        <v>1</v>
      </c>
      <c r="C293">
        <v>1</v>
      </c>
      <c r="D293">
        <v>10</v>
      </c>
      <c r="E293">
        <v>21</v>
      </c>
      <c r="F293">
        <v>0</v>
      </c>
      <c r="G293" t="s">
        <v>66</v>
      </c>
      <c r="H293"/>
      <c r="I293"/>
      <c r="J293" t="s">
        <v>13</v>
      </c>
      <c r="K293" t="s">
        <v>72</v>
      </c>
      <c r="L293"/>
      <c r="M293">
        <v>1</v>
      </c>
      <c r="N293">
        <v>0</v>
      </c>
      <c r="O293"/>
      <c r="P293" s="17">
        <f>Table11[[#This Row],[Gain/Loss]]</f>
        <v>0</v>
      </c>
      <c r="Q293" s="17">
        <f>IF(Table11[[#This Row],[Direction]]="L",0.5,IF(Table11[[#This Row],[Direction]]="M",1.5,2.5))</f>
        <v>0.5</v>
      </c>
      <c r="R293" s="17" t="str">
        <f>IF(Table11[[#This Row],[Direction]]="R","Right",IF(Table11[[#This Row],[Direction]]="L","Left","Middle"))</f>
        <v>Left</v>
      </c>
      <c r="S293" s="17">
        <f>IF(Table11[[#This Row],[Pass Zone]]="S",0.5,IF(Table11[[#This Row],[Pass Zone]]="M",1.5,2.5))</f>
        <v>2.5</v>
      </c>
      <c r="T293"/>
      <c r="U293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293"/>
      <c r="W293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</row>
    <row r="294" spans="1:23" x14ac:dyDescent="0.25">
      <c r="A294">
        <v>204</v>
      </c>
      <c r="B294">
        <v>2</v>
      </c>
      <c r="C294">
        <v>2</v>
      </c>
      <c r="D294">
        <v>6</v>
      </c>
      <c r="E294">
        <v>17</v>
      </c>
      <c r="F294">
        <v>13</v>
      </c>
      <c r="G294" t="s">
        <v>66</v>
      </c>
      <c r="H294"/>
      <c r="I294"/>
      <c r="J294" t="s">
        <v>12</v>
      </c>
      <c r="K294" t="s">
        <v>72</v>
      </c>
      <c r="L294" t="s">
        <v>74</v>
      </c>
      <c r="M294">
        <v>1</v>
      </c>
      <c r="N294"/>
      <c r="O294"/>
      <c r="P294" s="17">
        <f>Table11[[#This Row],[Gain/Loss]]</f>
        <v>13</v>
      </c>
      <c r="Q294" s="17">
        <f>IF(Table11[[#This Row],[Direction]]="L",0.5,IF(Table11[[#This Row],[Direction]]="M",1.5,2.5))</f>
        <v>0.5</v>
      </c>
      <c r="R294" s="17" t="str">
        <f>IF(Table11[[#This Row],[Direction]]="R","Right",IF(Table11[[#This Row],[Direction]]="L","Left","Middle"))</f>
        <v>Left</v>
      </c>
      <c r="S294" s="17">
        <f>IF(Table11[[#This Row],[Pass Zone]]="S",0.5,IF(Table11[[#This Row],[Pass Zone]]="M",1.5,2.5))</f>
        <v>2.5</v>
      </c>
      <c r="T294"/>
      <c r="U294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294"/>
      <c r="W294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Red Zone</v>
      </c>
    </row>
    <row r="295" spans="1:23" x14ac:dyDescent="0.25">
      <c r="A295">
        <v>205</v>
      </c>
      <c r="B295">
        <v>1</v>
      </c>
      <c r="C295">
        <v>1</v>
      </c>
      <c r="D295">
        <v>4</v>
      </c>
      <c r="E295">
        <v>4</v>
      </c>
      <c r="F295">
        <v>0</v>
      </c>
      <c r="G295" t="s">
        <v>72</v>
      </c>
      <c r="H295"/>
      <c r="I295"/>
      <c r="J295" t="s">
        <v>12</v>
      </c>
      <c r="K295" t="s">
        <v>66</v>
      </c>
      <c r="L295" t="s">
        <v>74</v>
      </c>
      <c r="M295">
        <v>1</v>
      </c>
      <c r="N295"/>
      <c r="O295"/>
      <c r="P295" s="17">
        <f>Table11[[#This Row],[Gain/Loss]]</f>
        <v>0</v>
      </c>
      <c r="Q295" s="17">
        <f>IF(Table11[[#This Row],[Direction]]="L",0.5,IF(Table11[[#This Row],[Direction]]="M",1.5,2.5))</f>
        <v>2.5</v>
      </c>
      <c r="R295" s="17" t="str">
        <f>IF(Table11[[#This Row],[Direction]]="R","Right",IF(Table11[[#This Row],[Direction]]="L","Left","Middle"))</f>
        <v>Right</v>
      </c>
      <c r="S295" s="17">
        <f>IF(Table11[[#This Row],[Pass Zone]]="S",0.5,IF(Table11[[#This Row],[Pass Zone]]="M",1.5,2.5))</f>
        <v>2.5</v>
      </c>
      <c r="T295"/>
      <c r="U295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295"/>
      <c r="W295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Red Zone</v>
      </c>
    </row>
    <row r="296" spans="1:23" x14ac:dyDescent="0.25">
      <c r="A296">
        <v>206</v>
      </c>
      <c r="B296">
        <v>2</v>
      </c>
      <c r="C296">
        <v>2</v>
      </c>
      <c r="D296">
        <v>4</v>
      </c>
      <c r="E296">
        <v>4</v>
      </c>
      <c r="F296">
        <v>2</v>
      </c>
      <c r="G296" t="s">
        <v>72</v>
      </c>
      <c r="J296" t="s">
        <v>12</v>
      </c>
      <c r="K296" t="s">
        <v>66</v>
      </c>
      <c r="L296" t="s">
        <v>75</v>
      </c>
      <c r="M296">
        <v>1</v>
      </c>
      <c r="N296"/>
      <c r="O296"/>
      <c r="P296" s="17">
        <f>Table11[[#This Row],[Gain/Loss]]</f>
        <v>2</v>
      </c>
      <c r="Q296" s="17">
        <f>IF(Table11[[#This Row],[Direction]]="L",0.5,IF(Table11[[#This Row],[Direction]]="M",1.5,2.5))</f>
        <v>2.5</v>
      </c>
      <c r="R296" s="17" t="str">
        <f>IF(Table11[[#This Row],[Direction]]="R","Right",IF(Table11[[#This Row],[Direction]]="L","Left","Middle"))</f>
        <v>Right</v>
      </c>
      <c r="S296" s="17">
        <f>IF(Table11[[#This Row],[Pass Zone]]="S",0.5,IF(Table11[[#This Row],[Pass Zone]]="M",1.5,2.5))</f>
        <v>2.5</v>
      </c>
      <c r="T296" s="139"/>
      <c r="U296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296" s="139"/>
      <c r="W296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Red Zone</v>
      </c>
    </row>
    <row r="297" spans="1:23" x14ac:dyDescent="0.25">
      <c r="A297">
        <v>207</v>
      </c>
      <c r="B297">
        <v>3</v>
      </c>
      <c r="C297">
        <v>3</v>
      </c>
      <c r="D297">
        <v>2</v>
      </c>
      <c r="E297">
        <v>2</v>
      </c>
      <c r="F297">
        <v>-4</v>
      </c>
      <c r="G297" t="s">
        <v>66</v>
      </c>
      <c r="J297" t="s">
        <v>12</v>
      </c>
      <c r="K297" t="s">
        <v>72</v>
      </c>
      <c r="L297" t="s">
        <v>74</v>
      </c>
      <c r="M297">
        <v>1</v>
      </c>
      <c r="N297"/>
      <c r="O297"/>
      <c r="P297" s="17">
        <f>Table11[[#This Row],[Gain/Loss]]</f>
        <v>-4</v>
      </c>
      <c r="Q297" s="17">
        <f>IF(Table11[[#This Row],[Direction]]="L",0.5,IF(Table11[[#This Row],[Direction]]="M",1.5,2.5))</f>
        <v>0.5</v>
      </c>
      <c r="R297" s="17" t="str">
        <f>IF(Table11[[#This Row],[Direction]]="R","Right",IF(Table11[[#This Row],[Direction]]="L","Left","Middle"))</f>
        <v>Left</v>
      </c>
      <c r="S297" s="17">
        <f>IF(Table11[[#This Row],[Pass Zone]]="S",0.5,IF(Table11[[#This Row],[Pass Zone]]="M",1.5,2.5))</f>
        <v>2.5</v>
      </c>
      <c r="T297" s="139"/>
      <c r="U297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297" s="139"/>
      <c r="W297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Goal Line</v>
      </c>
    </row>
    <row r="298" spans="1:23" x14ac:dyDescent="0.25">
      <c r="A298">
        <v>221</v>
      </c>
      <c r="B298">
        <v>1</v>
      </c>
      <c r="C298">
        <v>1</v>
      </c>
      <c r="D298">
        <v>10</v>
      </c>
      <c r="E298">
        <v>-31</v>
      </c>
      <c r="F298">
        <v>15</v>
      </c>
      <c r="G298" t="s">
        <v>72</v>
      </c>
      <c r="J298" t="s">
        <v>12</v>
      </c>
      <c r="K298" t="s">
        <v>66</v>
      </c>
      <c r="L298" t="s">
        <v>74</v>
      </c>
      <c r="M298">
        <v>1</v>
      </c>
      <c r="N298"/>
      <c r="O298"/>
      <c r="P298" s="17">
        <f>Table11[[#This Row],[Gain/Loss]]</f>
        <v>15</v>
      </c>
      <c r="Q298" s="17">
        <f>IF(Table11[[#This Row],[Direction]]="L",0.5,IF(Table11[[#This Row],[Direction]]="M",1.5,2.5))</f>
        <v>2.5</v>
      </c>
      <c r="R298" s="17" t="str">
        <f>IF(Table11[[#This Row],[Direction]]="R","Right",IF(Table11[[#This Row],[Direction]]="L","Left","Middle"))</f>
        <v>Right</v>
      </c>
      <c r="S298" s="17">
        <f>IF(Table11[[#This Row],[Pass Zone]]="S",0.5,IF(Table11[[#This Row],[Pass Zone]]="M",1.5,2.5))</f>
        <v>2.5</v>
      </c>
      <c r="T298" s="139"/>
      <c r="U298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298" s="139"/>
      <c r="W298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299" spans="1:23" x14ac:dyDescent="0.25">
      <c r="A299">
        <v>224</v>
      </c>
      <c r="B299">
        <v>1</v>
      </c>
      <c r="C299">
        <v>1</v>
      </c>
      <c r="D299">
        <v>10</v>
      </c>
      <c r="E299">
        <v>-46</v>
      </c>
      <c r="F299">
        <v>-1</v>
      </c>
      <c r="G299" t="s">
        <v>72</v>
      </c>
      <c r="J299" t="s">
        <v>12</v>
      </c>
      <c r="K299" t="s">
        <v>66</v>
      </c>
      <c r="L299" t="s">
        <v>74</v>
      </c>
      <c r="M299">
        <v>1</v>
      </c>
      <c r="N299"/>
      <c r="O299"/>
      <c r="P299" s="17">
        <f>Table11[[#This Row],[Gain/Loss]]</f>
        <v>-1</v>
      </c>
      <c r="Q299" s="17">
        <f>IF(Table11[[#This Row],[Direction]]="L",0.5,IF(Table11[[#This Row],[Direction]]="M",1.5,2.5))</f>
        <v>2.5</v>
      </c>
      <c r="R299" s="17" t="str">
        <f>IF(Table11[[#This Row],[Direction]]="R","Right",IF(Table11[[#This Row],[Direction]]="L","Left","Middle"))</f>
        <v>Right</v>
      </c>
      <c r="S299" s="17">
        <f>IF(Table11[[#This Row],[Pass Zone]]="S",0.5,IF(Table11[[#This Row],[Pass Zone]]="M",1.5,2.5))</f>
        <v>2.5</v>
      </c>
      <c r="T299" s="139"/>
      <c r="U299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299" s="139"/>
      <c r="W299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300" spans="1:23" x14ac:dyDescent="0.25">
      <c r="A300">
        <v>226</v>
      </c>
      <c r="B300">
        <v>2</v>
      </c>
      <c r="C300">
        <v>2</v>
      </c>
      <c r="D300">
        <v>11</v>
      </c>
      <c r="E300">
        <v>-45</v>
      </c>
      <c r="F300">
        <v>55</v>
      </c>
      <c r="G300" t="s">
        <v>66</v>
      </c>
      <c r="J300" t="s">
        <v>12</v>
      </c>
      <c r="K300" t="s">
        <v>72</v>
      </c>
      <c r="L300" t="s">
        <v>74</v>
      </c>
      <c r="M300">
        <v>1</v>
      </c>
      <c r="N300"/>
      <c r="O300"/>
      <c r="P300" s="17">
        <f>Table11[[#This Row],[Gain/Loss]]</f>
        <v>55</v>
      </c>
      <c r="Q300" s="17">
        <f>IF(Table11[[#This Row],[Direction]]="L",0.5,IF(Table11[[#This Row],[Direction]]="M",1.5,2.5))</f>
        <v>0.5</v>
      </c>
      <c r="R300" s="17" t="str">
        <f>IF(Table11[[#This Row],[Direction]]="R","Right",IF(Table11[[#This Row],[Direction]]="L","Left","Middle"))</f>
        <v>Left</v>
      </c>
      <c r="S300" s="17">
        <f>IF(Table11[[#This Row],[Pass Zone]]="S",0.5,IF(Table11[[#This Row],[Pass Zone]]="M",1.5,2.5))</f>
        <v>2.5</v>
      </c>
      <c r="T300" s="139"/>
      <c r="U300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300" s="139"/>
      <c r="W300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301" spans="1:23" x14ac:dyDescent="0.25">
      <c r="A301">
        <v>19</v>
      </c>
      <c r="B301">
        <v>1</v>
      </c>
      <c r="C301">
        <v>1</v>
      </c>
      <c r="D301">
        <v>10</v>
      </c>
      <c r="E301">
        <v>-27</v>
      </c>
      <c r="F301">
        <v>16</v>
      </c>
      <c r="G301" t="s">
        <v>72</v>
      </c>
      <c r="J301" t="s">
        <v>12</v>
      </c>
      <c r="K301" t="s">
        <v>66</v>
      </c>
      <c r="L301" t="s">
        <v>74</v>
      </c>
      <c r="M301">
        <v>1</v>
      </c>
      <c r="N301"/>
      <c r="O301"/>
      <c r="P301" s="17">
        <f>Table11[[#This Row],[Gain/Loss]]</f>
        <v>16</v>
      </c>
      <c r="Q301" s="17">
        <f>IF(Table11[[#This Row],[Direction]]="L",0.5,IF(Table11[[#This Row],[Direction]]="M",1.5,2.5))</f>
        <v>2.5</v>
      </c>
      <c r="R301" s="17" t="str">
        <f>IF(Table11[[#This Row],[Direction]]="R","Right",IF(Table11[[#This Row],[Direction]]="L","Left","Middle"))</f>
        <v>Right</v>
      </c>
      <c r="S301" s="17">
        <f>IF(Table11[[#This Row],[Pass Zone]]="S",0.5,IF(Table11[[#This Row],[Pass Zone]]="M",1.5,2.5))</f>
        <v>2.5</v>
      </c>
      <c r="T301" s="139"/>
      <c r="U301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301" s="139"/>
      <c r="W301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302" spans="1:23" x14ac:dyDescent="0.25">
      <c r="A302" s="17">
        <v>22</v>
      </c>
      <c r="B302">
        <v>1</v>
      </c>
      <c r="C302">
        <v>1</v>
      </c>
      <c r="D302">
        <v>5</v>
      </c>
      <c r="E302">
        <v>-48</v>
      </c>
      <c r="F302">
        <v>1</v>
      </c>
      <c r="G302" t="s">
        <v>72</v>
      </c>
      <c r="J302" t="s">
        <v>12</v>
      </c>
      <c r="K302" t="s">
        <v>66</v>
      </c>
      <c r="L302" t="s">
        <v>74</v>
      </c>
      <c r="M302">
        <v>1</v>
      </c>
      <c r="N302"/>
      <c r="O302"/>
      <c r="P302" s="17">
        <f>Table11[[#This Row],[Gain/Loss]]</f>
        <v>1</v>
      </c>
      <c r="Q302" s="17">
        <f>IF(Table11[[#This Row],[Direction]]="L",0.5,IF(Table11[[#This Row],[Direction]]="M",1.5,2.5))</f>
        <v>2.5</v>
      </c>
      <c r="R302" s="17" t="str">
        <f>IF(Table11[[#This Row],[Direction]]="R","Right",IF(Table11[[#This Row],[Direction]]="L","Left","Middle"))</f>
        <v>Right</v>
      </c>
      <c r="S302" s="17">
        <f>IF(Table11[[#This Row],[Pass Zone]]="S",0.5,IF(Table11[[#This Row],[Pass Zone]]="M",1.5,2.5))</f>
        <v>2.5</v>
      </c>
      <c r="T302" s="139"/>
      <c r="U302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302" s="139"/>
      <c r="W302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303" spans="1:23" x14ac:dyDescent="0.25">
      <c r="A303" s="17">
        <v>23</v>
      </c>
      <c r="B303">
        <v>2</v>
      </c>
      <c r="C303">
        <v>2</v>
      </c>
      <c r="D303">
        <v>4</v>
      </c>
      <c r="E303">
        <v>-49</v>
      </c>
      <c r="F303">
        <v>5</v>
      </c>
      <c r="G303" t="s">
        <v>70</v>
      </c>
      <c r="J303" t="s">
        <v>12</v>
      </c>
      <c r="K303" t="s">
        <v>66</v>
      </c>
      <c r="L303" t="s">
        <v>74</v>
      </c>
      <c r="M303">
        <v>1</v>
      </c>
      <c r="N303"/>
      <c r="O303"/>
      <c r="P303" s="17">
        <f>Table11[[#This Row],[Gain/Loss]]</f>
        <v>5</v>
      </c>
      <c r="Q303" s="17">
        <f>IF(Table11[[#This Row],[Direction]]="L",0.5,IF(Table11[[#This Row],[Direction]]="M",1.5,2.5))</f>
        <v>2.5</v>
      </c>
      <c r="R303" s="17" t="str">
        <f>IF(Table11[[#This Row],[Direction]]="R","Right",IF(Table11[[#This Row],[Direction]]="L","Left","Middle"))</f>
        <v>Right</v>
      </c>
      <c r="S303" s="17">
        <f>IF(Table11[[#This Row],[Pass Zone]]="S",0.5,IF(Table11[[#This Row],[Pass Zone]]="M",1.5,2.5))</f>
        <v>2.5</v>
      </c>
      <c r="T303" s="139"/>
      <c r="U303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303" s="139"/>
      <c r="W303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304" spans="1:23" x14ac:dyDescent="0.25">
      <c r="A304" s="17">
        <v>24</v>
      </c>
      <c r="B304">
        <v>1</v>
      </c>
      <c r="C304">
        <v>1</v>
      </c>
      <c r="D304">
        <v>10</v>
      </c>
      <c r="E304">
        <v>46</v>
      </c>
      <c r="F304">
        <v>3</v>
      </c>
      <c r="G304" t="s">
        <v>66</v>
      </c>
      <c r="J304" t="s">
        <v>12</v>
      </c>
      <c r="K304" t="s">
        <v>66</v>
      </c>
      <c r="L304" t="s">
        <v>74</v>
      </c>
      <c r="M304">
        <v>1</v>
      </c>
      <c r="N304"/>
      <c r="O304"/>
      <c r="P304" s="17">
        <f>Table11[[#This Row],[Gain/Loss]]</f>
        <v>3</v>
      </c>
      <c r="Q304" s="17">
        <f>IF(Table11[[#This Row],[Direction]]="L",0.5,IF(Table11[[#This Row],[Direction]]="M",1.5,2.5))</f>
        <v>2.5</v>
      </c>
      <c r="R304" s="17" t="str">
        <f>IF(Table11[[#This Row],[Direction]]="R","Right",IF(Table11[[#This Row],[Direction]]="L","Left","Middle"))</f>
        <v>Right</v>
      </c>
      <c r="S304" s="17">
        <f>IF(Table11[[#This Row],[Pass Zone]]="S",0.5,IF(Table11[[#This Row],[Pass Zone]]="M",1.5,2.5))</f>
        <v>2.5</v>
      </c>
      <c r="T304" s="139"/>
      <c r="U304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304" s="139"/>
      <c r="W304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</row>
    <row r="305" spans="1:23" x14ac:dyDescent="0.25">
      <c r="A305" s="17">
        <v>28</v>
      </c>
      <c r="B305">
        <v>2</v>
      </c>
      <c r="C305">
        <v>2</v>
      </c>
      <c r="D305">
        <v>15</v>
      </c>
      <c r="E305">
        <v>-49</v>
      </c>
      <c r="F305">
        <v>3</v>
      </c>
      <c r="G305" t="s">
        <v>72</v>
      </c>
      <c r="J305" t="s">
        <v>12</v>
      </c>
      <c r="K305" t="s">
        <v>72</v>
      </c>
      <c r="L305" t="s">
        <v>75</v>
      </c>
      <c r="M305">
        <v>1</v>
      </c>
      <c r="N305"/>
      <c r="O305"/>
      <c r="P305" s="17">
        <f>Table11[[#This Row],[Gain/Loss]]</f>
        <v>3</v>
      </c>
      <c r="Q305" s="17">
        <f>IF(Table11[[#This Row],[Direction]]="L",0.5,IF(Table11[[#This Row],[Direction]]="M",1.5,2.5))</f>
        <v>0.5</v>
      </c>
      <c r="R305" s="17" t="str">
        <f>IF(Table11[[#This Row],[Direction]]="R","Right",IF(Table11[[#This Row],[Direction]]="L","Left","Middle"))</f>
        <v>Left</v>
      </c>
      <c r="S305" s="17">
        <f>IF(Table11[[#This Row],[Pass Zone]]="S",0.5,IF(Table11[[#This Row],[Pass Zone]]="M",1.5,2.5))</f>
        <v>2.5</v>
      </c>
      <c r="T305" s="139"/>
      <c r="U305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305" s="139"/>
      <c r="W305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306" spans="1:23" x14ac:dyDescent="0.25">
      <c r="A306" s="17">
        <v>30</v>
      </c>
      <c r="B306">
        <v>3</v>
      </c>
      <c r="C306">
        <v>3</v>
      </c>
      <c r="D306">
        <v>12</v>
      </c>
      <c r="E306">
        <v>48</v>
      </c>
      <c r="F306">
        <v>0</v>
      </c>
      <c r="G306" t="s">
        <v>72</v>
      </c>
      <c r="J306" t="s">
        <v>13</v>
      </c>
      <c r="K306" t="s">
        <v>66</v>
      </c>
      <c r="L306"/>
      <c r="M306">
        <v>1</v>
      </c>
      <c r="N306">
        <v>0</v>
      </c>
      <c r="O306"/>
      <c r="P306" s="17">
        <f>Table11[[#This Row],[Gain/Loss]]</f>
        <v>0</v>
      </c>
      <c r="Q306" s="17">
        <f>IF(Table11[[#This Row],[Direction]]="L",0.5,IF(Table11[[#This Row],[Direction]]="M",1.5,2.5))</f>
        <v>2.5</v>
      </c>
      <c r="R306" s="17" t="str">
        <f>IF(Table11[[#This Row],[Direction]]="R","Right",IF(Table11[[#This Row],[Direction]]="L","Left","Middle"))</f>
        <v>Right</v>
      </c>
      <c r="S306" s="17">
        <f>IF(Table11[[#This Row],[Pass Zone]]="S",0.5,IF(Table11[[#This Row],[Pass Zone]]="M",1.5,2.5))</f>
        <v>2.5</v>
      </c>
      <c r="T306" s="139"/>
      <c r="U306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306" s="139"/>
      <c r="W306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</row>
    <row r="307" spans="1:23" x14ac:dyDescent="0.25">
      <c r="A307" s="17">
        <v>43</v>
      </c>
      <c r="B307">
        <v>1</v>
      </c>
      <c r="C307">
        <v>1</v>
      </c>
      <c r="D307">
        <v>10</v>
      </c>
      <c r="E307">
        <v>-40</v>
      </c>
      <c r="F307">
        <v>-1</v>
      </c>
      <c r="G307" t="s">
        <v>70</v>
      </c>
      <c r="J307" t="s">
        <v>12</v>
      </c>
      <c r="K307" t="s">
        <v>66</v>
      </c>
      <c r="L307" t="s">
        <v>74</v>
      </c>
      <c r="M307">
        <v>1</v>
      </c>
      <c r="N307"/>
      <c r="O307"/>
      <c r="P307" s="17">
        <f>Table11[[#This Row],[Gain/Loss]]</f>
        <v>-1</v>
      </c>
      <c r="Q307" s="17">
        <f>IF(Table11[[#This Row],[Direction]]="L",0.5,IF(Table11[[#This Row],[Direction]]="M",1.5,2.5))</f>
        <v>2.5</v>
      </c>
      <c r="R307" s="17" t="str">
        <f>IF(Table11[[#This Row],[Direction]]="R","Right",IF(Table11[[#This Row],[Direction]]="L","Left","Middle"))</f>
        <v>Right</v>
      </c>
      <c r="S307" s="17">
        <f>IF(Table11[[#This Row],[Pass Zone]]="S",0.5,IF(Table11[[#This Row],[Pass Zone]]="M",1.5,2.5))</f>
        <v>2.5</v>
      </c>
      <c r="T307" s="139"/>
      <c r="U307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307" s="139"/>
      <c r="W307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308" spans="1:23" x14ac:dyDescent="0.25">
      <c r="A308" s="17">
        <v>44</v>
      </c>
      <c r="B308">
        <v>2</v>
      </c>
      <c r="C308">
        <v>2</v>
      </c>
      <c r="D308">
        <v>11</v>
      </c>
      <c r="E308">
        <v>-39</v>
      </c>
      <c r="F308">
        <v>0</v>
      </c>
      <c r="G308" t="s">
        <v>66</v>
      </c>
      <c r="J308" t="s">
        <v>13</v>
      </c>
      <c r="K308" t="s">
        <v>70</v>
      </c>
      <c r="L308"/>
      <c r="M308">
        <v>1</v>
      </c>
      <c r="N308">
        <v>0</v>
      </c>
      <c r="O308" t="s">
        <v>67</v>
      </c>
      <c r="P308" s="17">
        <f>Table11[[#This Row],[Gain/Loss]]</f>
        <v>0</v>
      </c>
      <c r="Q308" s="17">
        <f>IF(Table11[[#This Row],[Direction]]="L",0.5,IF(Table11[[#This Row],[Direction]]="M",1.5,2.5))</f>
        <v>1.5</v>
      </c>
      <c r="R308" s="17" t="str">
        <f>IF(Table11[[#This Row],[Direction]]="R","Right",IF(Table11[[#This Row],[Direction]]="L","Left","Middle"))</f>
        <v>Middle</v>
      </c>
      <c r="S308" s="17">
        <f>IF(Table11[[#This Row],[Pass Zone]]="S",0.5,IF(Table11[[#This Row],[Pass Zone]]="M",1.5,2.5))</f>
        <v>0.5</v>
      </c>
      <c r="T308" s="139"/>
      <c r="U308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308" s="139"/>
      <c r="W308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309" spans="1:23" x14ac:dyDescent="0.25">
      <c r="A309" s="17">
        <v>46</v>
      </c>
      <c r="B309">
        <v>3</v>
      </c>
      <c r="C309">
        <v>3</v>
      </c>
      <c r="D309">
        <v>20</v>
      </c>
      <c r="E309">
        <v>-30</v>
      </c>
      <c r="F309">
        <v>0</v>
      </c>
      <c r="G309" t="s">
        <v>66</v>
      </c>
      <c r="J309" t="s">
        <v>13</v>
      </c>
      <c r="K309" t="s">
        <v>66</v>
      </c>
      <c r="L309"/>
      <c r="M309">
        <v>1</v>
      </c>
      <c r="N309">
        <v>0</v>
      </c>
      <c r="O309"/>
      <c r="P309" s="17">
        <f>Table11[[#This Row],[Gain/Loss]]</f>
        <v>0</v>
      </c>
      <c r="Q309" s="17">
        <f>IF(Table11[[#This Row],[Direction]]="L",0.5,IF(Table11[[#This Row],[Direction]]="M",1.5,2.5))</f>
        <v>2.5</v>
      </c>
      <c r="R309" s="17" t="str">
        <f>IF(Table11[[#This Row],[Direction]]="R","Right",IF(Table11[[#This Row],[Direction]]="L","Left","Middle"))</f>
        <v>Right</v>
      </c>
      <c r="S309" s="17">
        <f>IF(Table11[[#This Row],[Pass Zone]]="S",0.5,IF(Table11[[#This Row],[Pass Zone]]="M",1.5,2.5))</f>
        <v>2.5</v>
      </c>
      <c r="T309" s="139"/>
      <c r="U309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309" s="139"/>
      <c r="W309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310" spans="1:23" x14ac:dyDescent="0.25">
      <c r="A310" s="17">
        <v>58</v>
      </c>
      <c r="B310">
        <v>1</v>
      </c>
      <c r="C310">
        <v>1</v>
      </c>
      <c r="D310">
        <v>10</v>
      </c>
      <c r="E310">
        <v>-32</v>
      </c>
      <c r="F310">
        <v>2</v>
      </c>
      <c r="G310" t="s">
        <v>70</v>
      </c>
      <c r="J310" t="s">
        <v>12</v>
      </c>
      <c r="K310" t="s">
        <v>66</v>
      </c>
      <c r="L310" t="s">
        <v>74</v>
      </c>
      <c r="M310">
        <v>1</v>
      </c>
      <c r="N310"/>
      <c r="O310"/>
      <c r="P310" s="17">
        <f>Table11[[#This Row],[Gain/Loss]]</f>
        <v>2</v>
      </c>
      <c r="Q310" s="17">
        <f>IF(Table11[[#This Row],[Direction]]="L",0.5,IF(Table11[[#This Row],[Direction]]="M",1.5,2.5))</f>
        <v>2.5</v>
      </c>
      <c r="R310" s="17" t="str">
        <f>IF(Table11[[#This Row],[Direction]]="R","Right",IF(Table11[[#This Row],[Direction]]="L","Left","Middle"))</f>
        <v>Right</v>
      </c>
      <c r="S310" s="17">
        <f>IF(Table11[[#This Row],[Pass Zone]]="S",0.5,IF(Table11[[#This Row],[Pass Zone]]="M",1.5,2.5))</f>
        <v>2.5</v>
      </c>
      <c r="T310" s="139"/>
      <c r="U310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310" s="139"/>
      <c r="W310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311" spans="1:23" x14ac:dyDescent="0.25">
      <c r="A311" s="17">
        <v>59</v>
      </c>
      <c r="B311">
        <v>2</v>
      </c>
      <c r="C311">
        <v>2</v>
      </c>
      <c r="D311">
        <v>8</v>
      </c>
      <c r="E311">
        <v>-34</v>
      </c>
      <c r="F311">
        <v>6</v>
      </c>
      <c r="G311" t="s">
        <v>66</v>
      </c>
      <c r="J311" t="s">
        <v>12</v>
      </c>
      <c r="K311" t="s">
        <v>72</v>
      </c>
      <c r="L311" t="s">
        <v>74</v>
      </c>
      <c r="M311">
        <v>1</v>
      </c>
      <c r="N311"/>
      <c r="O311"/>
      <c r="P311" s="17">
        <f>Table11[[#This Row],[Gain/Loss]]</f>
        <v>6</v>
      </c>
      <c r="Q311" s="17">
        <f>IF(Table11[[#This Row],[Direction]]="L",0.5,IF(Table11[[#This Row],[Direction]]="M",1.5,2.5))</f>
        <v>0.5</v>
      </c>
      <c r="R311" s="17" t="str">
        <f>IF(Table11[[#This Row],[Direction]]="R","Right",IF(Table11[[#This Row],[Direction]]="L","Left","Middle"))</f>
        <v>Left</v>
      </c>
      <c r="S311" s="17">
        <f>IF(Table11[[#This Row],[Pass Zone]]="S",0.5,IF(Table11[[#This Row],[Pass Zone]]="M",1.5,2.5))</f>
        <v>2.5</v>
      </c>
      <c r="T311" s="139"/>
      <c r="U311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311" s="139"/>
      <c r="W311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312" spans="1:23" x14ac:dyDescent="0.25">
      <c r="A312" s="17">
        <v>60</v>
      </c>
      <c r="B312">
        <v>3</v>
      </c>
      <c r="C312">
        <v>3</v>
      </c>
      <c r="D312">
        <v>2</v>
      </c>
      <c r="E312">
        <v>-40</v>
      </c>
      <c r="F312">
        <v>5</v>
      </c>
      <c r="G312" t="s">
        <v>70</v>
      </c>
      <c r="J312" t="s">
        <v>12</v>
      </c>
      <c r="K312" t="s">
        <v>66</v>
      </c>
      <c r="L312" t="s">
        <v>74</v>
      </c>
      <c r="M312">
        <v>1</v>
      </c>
      <c r="N312"/>
      <c r="O312"/>
      <c r="P312" s="17">
        <f>Table11[[#This Row],[Gain/Loss]]</f>
        <v>5</v>
      </c>
      <c r="Q312" s="17">
        <f>IF(Table11[[#This Row],[Direction]]="L",0.5,IF(Table11[[#This Row],[Direction]]="M",1.5,2.5))</f>
        <v>2.5</v>
      </c>
      <c r="R312" s="17" t="str">
        <f>IF(Table11[[#This Row],[Direction]]="R","Right",IF(Table11[[#This Row],[Direction]]="L","Left","Middle"))</f>
        <v>Right</v>
      </c>
      <c r="S312" s="17">
        <f>IF(Table11[[#This Row],[Pass Zone]]="S",0.5,IF(Table11[[#This Row],[Pass Zone]]="M",1.5,2.5))</f>
        <v>2.5</v>
      </c>
      <c r="T312" s="139"/>
      <c r="U312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312" s="139"/>
      <c r="W312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313" spans="1:23" x14ac:dyDescent="0.25">
      <c r="A313" s="17">
        <v>61</v>
      </c>
      <c r="B313">
        <v>1</v>
      </c>
      <c r="C313">
        <v>1</v>
      </c>
      <c r="D313">
        <v>10</v>
      </c>
      <c r="E313">
        <v>-45</v>
      </c>
      <c r="F313">
        <v>0</v>
      </c>
      <c r="G313" t="s">
        <v>66</v>
      </c>
      <c r="J313" t="s">
        <v>12</v>
      </c>
      <c r="K313" t="s">
        <v>66</v>
      </c>
      <c r="L313" t="s">
        <v>74</v>
      </c>
      <c r="M313">
        <v>1</v>
      </c>
      <c r="N313"/>
      <c r="O313"/>
      <c r="P313" s="17">
        <f>Table11[[#This Row],[Gain/Loss]]</f>
        <v>0</v>
      </c>
      <c r="Q313" s="17">
        <f>IF(Table11[[#This Row],[Direction]]="L",0.5,IF(Table11[[#This Row],[Direction]]="M",1.5,2.5))</f>
        <v>2.5</v>
      </c>
      <c r="R313" s="17" t="str">
        <f>IF(Table11[[#This Row],[Direction]]="R","Right",IF(Table11[[#This Row],[Direction]]="L","Left","Middle"))</f>
        <v>Right</v>
      </c>
      <c r="S313" s="17">
        <f>IF(Table11[[#This Row],[Pass Zone]]="S",0.5,IF(Table11[[#This Row],[Pass Zone]]="M",1.5,2.5))</f>
        <v>2.5</v>
      </c>
      <c r="T313" s="139"/>
      <c r="U313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313" s="139"/>
      <c r="W313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314" spans="1:23" x14ac:dyDescent="0.25">
      <c r="A314" s="17">
        <v>62</v>
      </c>
      <c r="B314">
        <v>2</v>
      </c>
      <c r="C314">
        <v>2</v>
      </c>
      <c r="D314">
        <v>10</v>
      </c>
      <c r="E314">
        <v>-45</v>
      </c>
      <c r="F314">
        <v>-4</v>
      </c>
      <c r="G314" t="s">
        <v>66</v>
      </c>
      <c r="J314" t="s">
        <v>12</v>
      </c>
      <c r="K314" t="s">
        <v>72</v>
      </c>
      <c r="L314" t="s">
        <v>74</v>
      </c>
      <c r="M314">
        <v>1</v>
      </c>
      <c r="N314"/>
      <c r="O314"/>
      <c r="P314" s="17">
        <f>Table11[[#This Row],[Gain/Loss]]</f>
        <v>-4</v>
      </c>
      <c r="Q314" s="17">
        <f>IF(Table11[[#This Row],[Direction]]="L",0.5,IF(Table11[[#This Row],[Direction]]="M",1.5,2.5))</f>
        <v>0.5</v>
      </c>
      <c r="R314" s="17" t="str">
        <f>IF(Table11[[#This Row],[Direction]]="R","Right",IF(Table11[[#This Row],[Direction]]="L","Left","Middle"))</f>
        <v>Left</v>
      </c>
      <c r="S314" s="17">
        <f>IF(Table11[[#This Row],[Pass Zone]]="S",0.5,IF(Table11[[#This Row],[Pass Zone]]="M",1.5,2.5))</f>
        <v>2.5</v>
      </c>
      <c r="T314" s="139"/>
      <c r="U314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314" s="139"/>
      <c r="W314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315" spans="1:23" x14ac:dyDescent="0.25">
      <c r="A315" s="17">
        <v>63</v>
      </c>
      <c r="B315">
        <v>3</v>
      </c>
      <c r="C315">
        <v>3</v>
      </c>
      <c r="D315">
        <v>14</v>
      </c>
      <c r="E315">
        <v>-41</v>
      </c>
      <c r="F315">
        <v>0</v>
      </c>
      <c r="G315" t="s">
        <v>72</v>
      </c>
      <c r="J315" t="s">
        <v>13</v>
      </c>
      <c r="K315" t="s">
        <v>66</v>
      </c>
      <c r="L315"/>
      <c r="M315">
        <v>1</v>
      </c>
      <c r="N315">
        <v>0</v>
      </c>
      <c r="O315"/>
      <c r="P315" s="17">
        <f>Table11[[#This Row],[Gain/Loss]]</f>
        <v>0</v>
      </c>
      <c r="Q315" s="17">
        <f>IF(Table11[[#This Row],[Direction]]="L",0.5,IF(Table11[[#This Row],[Direction]]="M",1.5,2.5))</f>
        <v>2.5</v>
      </c>
      <c r="R315" s="17" t="str">
        <f>IF(Table11[[#This Row],[Direction]]="R","Right",IF(Table11[[#This Row],[Direction]]="L","Left","Middle"))</f>
        <v>Right</v>
      </c>
      <c r="S315" s="17">
        <f>IF(Table11[[#This Row],[Pass Zone]]="S",0.5,IF(Table11[[#This Row],[Pass Zone]]="M",1.5,2.5))</f>
        <v>2.5</v>
      </c>
      <c r="T315" s="139"/>
      <c r="U315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315" s="139"/>
      <c r="W315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316" spans="1:23" x14ac:dyDescent="0.25">
      <c r="A316" s="17">
        <v>75</v>
      </c>
      <c r="B316">
        <v>1</v>
      </c>
      <c r="C316">
        <v>1</v>
      </c>
      <c r="D316">
        <v>10</v>
      </c>
      <c r="E316">
        <v>45</v>
      </c>
      <c r="F316">
        <v>17</v>
      </c>
      <c r="G316" t="s">
        <v>72</v>
      </c>
      <c r="J316" t="s">
        <v>13</v>
      </c>
      <c r="K316" t="s">
        <v>66</v>
      </c>
      <c r="L316"/>
      <c r="M316">
        <v>1</v>
      </c>
      <c r="N316">
        <v>1</v>
      </c>
      <c r="O316" t="s">
        <v>71</v>
      </c>
      <c r="P316" s="17">
        <f>Table11[[#This Row],[Gain/Loss]]</f>
        <v>17</v>
      </c>
      <c r="Q316" s="17">
        <f>IF(Table11[[#This Row],[Direction]]="L",0.5,IF(Table11[[#This Row],[Direction]]="M",1.5,2.5))</f>
        <v>2.5</v>
      </c>
      <c r="R316" s="17" t="str">
        <f>IF(Table11[[#This Row],[Direction]]="R","Right",IF(Table11[[#This Row],[Direction]]="L","Left","Middle"))</f>
        <v>Right</v>
      </c>
      <c r="S316" s="17">
        <f>IF(Table11[[#This Row],[Pass Zone]]="S",0.5,IF(Table11[[#This Row],[Pass Zone]]="M",1.5,2.5))</f>
        <v>2.5</v>
      </c>
      <c r="T316" s="139"/>
      <c r="U316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316" s="139"/>
      <c r="W316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</row>
    <row r="317" spans="1:23" x14ac:dyDescent="0.25">
      <c r="A317" s="17">
        <v>76</v>
      </c>
      <c r="B317">
        <v>1</v>
      </c>
      <c r="C317">
        <v>1</v>
      </c>
      <c r="D317">
        <v>10</v>
      </c>
      <c r="E317">
        <v>28</v>
      </c>
      <c r="F317">
        <v>8</v>
      </c>
      <c r="G317" t="s">
        <v>72</v>
      </c>
      <c r="J317" t="s">
        <v>12</v>
      </c>
      <c r="K317" t="s">
        <v>72</v>
      </c>
      <c r="L317" t="s">
        <v>74</v>
      </c>
      <c r="M317">
        <v>1</v>
      </c>
      <c r="N317"/>
      <c r="O317"/>
      <c r="P317" s="17">
        <f>Table11[[#This Row],[Gain/Loss]]</f>
        <v>8</v>
      </c>
      <c r="Q317" s="17">
        <f>IF(Table11[[#This Row],[Direction]]="L",0.5,IF(Table11[[#This Row],[Direction]]="M",1.5,2.5))</f>
        <v>0.5</v>
      </c>
      <c r="R317" s="17" t="str">
        <f>IF(Table11[[#This Row],[Direction]]="R","Right",IF(Table11[[#This Row],[Direction]]="L","Left","Middle"))</f>
        <v>Left</v>
      </c>
      <c r="S317" s="17">
        <f>IF(Table11[[#This Row],[Pass Zone]]="S",0.5,IF(Table11[[#This Row],[Pass Zone]]="M",1.5,2.5))</f>
        <v>2.5</v>
      </c>
      <c r="T317" s="139"/>
      <c r="U317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317" s="139"/>
      <c r="W317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</row>
    <row r="318" spans="1:23" x14ac:dyDescent="0.25">
      <c r="A318" s="17">
        <v>78</v>
      </c>
      <c r="B318">
        <v>1</v>
      </c>
      <c r="C318">
        <v>1</v>
      </c>
      <c r="D318">
        <v>10</v>
      </c>
      <c r="E318">
        <v>15</v>
      </c>
      <c r="F318">
        <v>-2</v>
      </c>
      <c r="G318" t="s">
        <v>72</v>
      </c>
      <c r="J318" t="s">
        <v>12</v>
      </c>
      <c r="K318" t="s">
        <v>66</v>
      </c>
      <c r="L318" t="s">
        <v>74</v>
      </c>
      <c r="M318">
        <v>1</v>
      </c>
      <c r="N318"/>
      <c r="O318"/>
      <c r="P318" s="17">
        <f>Table11[[#This Row],[Gain/Loss]]</f>
        <v>-2</v>
      </c>
      <c r="Q318" s="17">
        <f>IF(Table11[[#This Row],[Direction]]="L",0.5,IF(Table11[[#This Row],[Direction]]="M",1.5,2.5))</f>
        <v>2.5</v>
      </c>
      <c r="R318" s="17" t="str">
        <f>IF(Table11[[#This Row],[Direction]]="R","Right",IF(Table11[[#This Row],[Direction]]="L","Left","Middle"))</f>
        <v>Right</v>
      </c>
      <c r="S318" s="17">
        <f>IF(Table11[[#This Row],[Pass Zone]]="S",0.5,IF(Table11[[#This Row],[Pass Zone]]="M",1.5,2.5))</f>
        <v>2.5</v>
      </c>
      <c r="T318" s="139"/>
      <c r="U318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318" s="139"/>
      <c r="W318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Red Zone</v>
      </c>
    </row>
    <row r="319" spans="1:23" x14ac:dyDescent="0.25">
      <c r="A319" s="17">
        <v>79</v>
      </c>
      <c r="B319">
        <v>2</v>
      </c>
      <c r="C319">
        <v>2</v>
      </c>
      <c r="D319">
        <v>12</v>
      </c>
      <c r="E319">
        <v>17</v>
      </c>
      <c r="F319">
        <v>1</v>
      </c>
      <c r="G319" t="s">
        <v>66</v>
      </c>
      <c r="J319" t="s">
        <v>12</v>
      </c>
      <c r="K319" t="s">
        <v>66</v>
      </c>
      <c r="L319" t="s">
        <v>74</v>
      </c>
      <c r="M319">
        <v>1</v>
      </c>
      <c r="N319"/>
      <c r="O319"/>
      <c r="P319" s="17">
        <f>Table11[[#This Row],[Gain/Loss]]</f>
        <v>1</v>
      </c>
      <c r="Q319" s="17">
        <f>IF(Table11[[#This Row],[Direction]]="L",0.5,IF(Table11[[#This Row],[Direction]]="M",1.5,2.5))</f>
        <v>2.5</v>
      </c>
      <c r="R319" s="17" t="str">
        <f>IF(Table11[[#This Row],[Direction]]="R","Right",IF(Table11[[#This Row],[Direction]]="L","Left","Middle"))</f>
        <v>Right</v>
      </c>
      <c r="S319" s="17">
        <f>IF(Table11[[#This Row],[Pass Zone]]="S",0.5,IF(Table11[[#This Row],[Pass Zone]]="M",1.5,2.5))</f>
        <v>2.5</v>
      </c>
      <c r="T319" s="139"/>
      <c r="U319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319" s="139"/>
      <c r="W319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Red Zone</v>
      </c>
    </row>
    <row r="320" spans="1:23" x14ac:dyDescent="0.25">
      <c r="A320" s="17">
        <v>80</v>
      </c>
      <c r="B320">
        <v>3</v>
      </c>
      <c r="C320">
        <v>3</v>
      </c>
      <c r="D320">
        <v>11</v>
      </c>
      <c r="E320">
        <v>16</v>
      </c>
      <c r="F320">
        <v>12</v>
      </c>
      <c r="G320" t="s">
        <v>66</v>
      </c>
      <c r="J320" t="s">
        <v>12</v>
      </c>
      <c r="K320" t="s">
        <v>66</v>
      </c>
      <c r="L320" t="s">
        <v>74</v>
      </c>
      <c r="M320">
        <v>1</v>
      </c>
      <c r="N320"/>
      <c r="O320"/>
      <c r="P320" s="17">
        <f>Table11[[#This Row],[Gain/Loss]]</f>
        <v>12</v>
      </c>
      <c r="Q320" s="17">
        <f>IF(Table11[[#This Row],[Direction]]="L",0.5,IF(Table11[[#This Row],[Direction]]="M",1.5,2.5))</f>
        <v>2.5</v>
      </c>
      <c r="R320" s="17" t="str">
        <f>IF(Table11[[#This Row],[Direction]]="R","Right",IF(Table11[[#This Row],[Direction]]="L","Left","Middle"))</f>
        <v>Right</v>
      </c>
      <c r="S320" s="17">
        <f>IF(Table11[[#This Row],[Pass Zone]]="S",0.5,IF(Table11[[#This Row],[Pass Zone]]="M",1.5,2.5))</f>
        <v>2.5</v>
      </c>
      <c r="T320" s="139"/>
      <c r="U320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320" s="139"/>
      <c r="W320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Red Zone</v>
      </c>
    </row>
    <row r="321" spans="1:23" x14ac:dyDescent="0.25">
      <c r="A321" s="17">
        <v>82</v>
      </c>
      <c r="B321">
        <v>1</v>
      </c>
      <c r="C321">
        <v>1</v>
      </c>
      <c r="D321">
        <v>10</v>
      </c>
      <c r="E321">
        <v>4</v>
      </c>
      <c r="F321">
        <v>-1</v>
      </c>
      <c r="G321" t="s">
        <v>66</v>
      </c>
      <c r="J321" t="s">
        <v>12</v>
      </c>
      <c r="K321" t="s">
        <v>72</v>
      </c>
      <c r="L321" t="s">
        <v>74</v>
      </c>
      <c r="M321">
        <v>1</v>
      </c>
      <c r="N321"/>
      <c r="O321"/>
      <c r="P321" s="17">
        <f>Table11[[#This Row],[Gain/Loss]]</f>
        <v>-1</v>
      </c>
      <c r="Q321" s="17">
        <f>IF(Table11[[#This Row],[Direction]]="L",0.5,IF(Table11[[#This Row],[Direction]]="M",1.5,2.5))</f>
        <v>0.5</v>
      </c>
      <c r="R321" s="17" t="str">
        <f>IF(Table11[[#This Row],[Direction]]="R","Right",IF(Table11[[#This Row],[Direction]]="L","Left","Middle"))</f>
        <v>Left</v>
      </c>
      <c r="S321" s="17">
        <f>IF(Table11[[#This Row],[Pass Zone]]="S",0.5,IF(Table11[[#This Row],[Pass Zone]]="M",1.5,2.5))</f>
        <v>2.5</v>
      </c>
      <c r="T321" s="139"/>
      <c r="U321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321" s="139"/>
      <c r="W321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Red Zone</v>
      </c>
    </row>
    <row r="322" spans="1:23" x14ac:dyDescent="0.25">
      <c r="A322" s="17">
        <v>83</v>
      </c>
      <c r="B322">
        <v>2</v>
      </c>
      <c r="C322">
        <v>2</v>
      </c>
      <c r="D322">
        <v>11</v>
      </c>
      <c r="E322">
        <v>5</v>
      </c>
      <c r="F322">
        <v>1</v>
      </c>
      <c r="G322" t="s">
        <v>72</v>
      </c>
      <c r="J322" t="s">
        <v>12</v>
      </c>
      <c r="K322" t="s">
        <v>66</v>
      </c>
      <c r="L322" t="s">
        <v>74</v>
      </c>
      <c r="M322">
        <v>1</v>
      </c>
      <c r="N322"/>
      <c r="O322"/>
      <c r="P322" s="17">
        <f>Table11[[#This Row],[Gain/Loss]]</f>
        <v>1</v>
      </c>
      <c r="Q322" s="17">
        <f>IF(Table11[[#This Row],[Direction]]="L",0.5,IF(Table11[[#This Row],[Direction]]="M",1.5,2.5))</f>
        <v>2.5</v>
      </c>
      <c r="R322" s="17" t="str">
        <f>IF(Table11[[#This Row],[Direction]]="R","Right",IF(Table11[[#This Row],[Direction]]="L","Left","Middle"))</f>
        <v>Right</v>
      </c>
      <c r="S322" s="17">
        <f>IF(Table11[[#This Row],[Pass Zone]]="S",0.5,IF(Table11[[#This Row],[Pass Zone]]="M",1.5,2.5))</f>
        <v>2.5</v>
      </c>
      <c r="T322" s="139"/>
      <c r="U322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322" s="139"/>
      <c r="W322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Red Zone</v>
      </c>
    </row>
    <row r="323" spans="1:23" x14ac:dyDescent="0.25">
      <c r="A323" s="17">
        <v>85</v>
      </c>
      <c r="B323">
        <v>3</v>
      </c>
      <c r="C323">
        <v>3</v>
      </c>
      <c r="D323">
        <v>4</v>
      </c>
      <c r="E323">
        <v>4</v>
      </c>
      <c r="F323">
        <v>4</v>
      </c>
      <c r="G323" t="s">
        <v>72</v>
      </c>
      <c r="J323" t="s">
        <v>12</v>
      </c>
      <c r="K323" t="s">
        <v>66</v>
      </c>
      <c r="L323" t="s">
        <v>74</v>
      </c>
      <c r="M323">
        <v>1</v>
      </c>
      <c r="N323"/>
      <c r="O323"/>
      <c r="P323" s="17">
        <f>Table11[[#This Row],[Gain/Loss]]</f>
        <v>4</v>
      </c>
      <c r="Q323" s="17">
        <f>IF(Table11[[#This Row],[Direction]]="L",0.5,IF(Table11[[#This Row],[Direction]]="M",1.5,2.5))</f>
        <v>2.5</v>
      </c>
      <c r="R323" s="17" t="str">
        <f>IF(Table11[[#This Row],[Direction]]="R","Right",IF(Table11[[#This Row],[Direction]]="L","Left","Middle"))</f>
        <v>Right</v>
      </c>
      <c r="S323" s="17">
        <f>IF(Table11[[#This Row],[Pass Zone]]="S",0.5,IF(Table11[[#This Row],[Pass Zone]]="M",1.5,2.5))</f>
        <v>2.5</v>
      </c>
      <c r="T323" s="139"/>
      <c r="U323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323" s="139"/>
      <c r="W323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Red Zone</v>
      </c>
    </row>
    <row r="324" spans="1:23" x14ac:dyDescent="0.25">
      <c r="A324" s="17">
        <v>107</v>
      </c>
      <c r="B324">
        <v>1</v>
      </c>
      <c r="C324">
        <v>1</v>
      </c>
      <c r="D324">
        <v>10</v>
      </c>
      <c r="E324">
        <v>-24</v>
      </c>
      <c r="F324">
        <v>13</v>
      </c>
      <c r="G324" t="s">
        <v>72</v>
      </c>
      <c r="J324" t="s">
        <v>13</v>
      </c>
      <c r="K324" t="s">
        <v>66</v>
      </c>
      <c r="L324"/>
      <c r="M324">
        <v>1</v>
      </c>
      <c r="N324">
        <v>1</v>
      </c>
      <c r="O324" t="s">
        <v>71</v>
      </c>
      <c r="P324" s="17">
        <f>Table11[[#This Row],[Gain/Loss]]</f>
        <v>13</v>
      </c>
      <c r="Q324" s="17">
        <f>IF(Table11[[#This Row],[Direction]]="L",0.5,IF(Table11[[#This Row],[Direction]]="M",1.5,2.5))</f>
        <v>2.5</v>
      </c>
      <c r="R324" s="17" t="str">
        <f>IF(Table11[[#This Row],[Direction]]="R","Right",IF(Table11[[#This Row],[Direction]]="L","Left","Middle"))</f>
        <v>Right</v>
      </c>
      <c r="S324" s="17">
        <f>IF(Table11[[#This Row],[Pass Zone]]="S",0.5,IF(Table11[[#This Row],[Pass Zone]]="M",1.5,2.5))</f>
        <v>2.5</v>
      </c>
      <c r="T324" s="139"/>
      <c r="U324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324" s="139"/>
      <c r="W324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325" spans="1:23" x14ac:dyDescent="0.25">
      <c r="A325" s="17">
        <v>108</v>
      </c>
      <c r="B325">
        <v>1</v>
      </c>
      <c r="C325">
        <v>1</v>
      </c>
      <c r="D325">
        <v>10</v>
      </c>
      <c r="E325">
        <v>-37</v>
      </c>
      <c r="F325">
        <v>8</v>
      </c>
      <c r="G325" t="s">
        <v>72</v>
      </c>
      <c r="J325" t="s">
        <v>12</v>
      </c>
      <c r="K325" t="s">
        <v>66</v>
      </c>
      <c r="L325" t="s">
        <v>74</v>
      </c>
      <c r="M325">
        <v>1</v>
      </c>
      <c r="N325"/>
      <c r="O325"/>
      <c r="P325" s="17">
        <f>Table11[[#This Row],[Gain/Loss]]</f>
        <v>8</v>
      </c>
      <c r="Q325" s="17">
        <f>IF(Table11[[#This Row],[Direction]]="L",0.5,IF(Table11[[#This Row],[Direction]]="M",1.5,2.5))</f>
        <v>2.5</v>
      </c>
      <c r="R325" s="17" t="str">
        <f>IF(Table11[[#This Row],[Direction]]="R","Right",IF(Table11[[#This Row],[Direction]]="L","Left","Middle"))</f>
        <v>Right</v>
      </c>
      <c r="S325" s="17">
        <f>IF(Table11[[#This Row],[Pass Zone]]="S",0.5,IF(Table11[[#This Row],[Pass Zone]]="M",1.5,2.5))</f>
        <v>2.5</v>
      </c>
      <c r="T325" s="139"/>
      <c r="U325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325" s="139"/>
      <c r="W325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326" spans="1:23" x14ac:dyDescent="0.25">
      <c r="A326" s="17">
        <v>109</v>
      </c>
      <c r="B326">
        <v>2</v>
      </c>
      <c r="C326">
        <v>2</v>
      </c>
      <c r="D326">
        <v>2</v>
      </c>
      <c r="E326">
        <v>-45</v>
      </c>
      <c r="F326">
        <v>0</v>
      </c>
      <c r="G326" t="s">
        <v>66</v>
      </c>
      <c r="J326" t="s">
        <v>12</v>
      </c>
      <c r="K326" t="s">
        <v>66</v>
      </c>
      <c r="L326" t="s">
        <v>74</v>
      </c>
      <c r="M326">
        <v>1</v>
      </c>
      <c r="N326"/>
      <c r="O326"/>
      <c r="P326" s="17">
        <f>Table11[[#This Row],[Gain/Loss]]</f>
        <v>0</v>
      </c>
      <c r="Q326" s="17">
        <f>IF(Table11[[#This Row],[Direction]]="L",0.5,IF(Table11[[#This Row],[Direction]]="M",1.5,2.5))</f>
        <v>2.5</v>
      </c>
      <c r="R326" s="17" t="str">
        <f>IF(Table11[[#This Row],[Direction]]="R","Right",IF(Table11[[#This Row],[Direction]]="L","Left","Middle"))</f>
        <v>Right</v>
      </c>
      <c r="S326" s="17">
        <f>IF(Table11[[#This Row],[Pass Zone]]="S",0.5,IF(Table11[[#This Row],[Pass Zone]]="M",1.5,2.5))</f>
        <v>2.5</v>
      </c>
      <c r="T326" s="139"/>
      <c r="U326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326" s="139"/>
      <c r="W326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327" spans="1:23" x14ac:dyDescent="0.25">
      <c r="A327" s="17">
        <v>110</v>
      </c>
      <c r="B327">
        <v>3</v>
      </c>
      <c r="C327">
        <v>3</v>
      </c>
      <c r="D327">
        <v>2</v>
      </c>
      <c r="E327">
        <v>-45</v>
      </c>
      <c r="F327">
        <v>10</v>
      </c>
      <c r="G327" t="s">
        <v>66</v>
      </c>
      <c r="J327" t="s">
        <v>12</v>
      </c>
      <c r="K327" t="s">
        <v>66</v>
      </c>
      <c r="L327" t="s">
        <v>74</v>
      </c>
      <c r="M327">
        <v>1</v>
      </c>
      <c r="N327"/>
      <c r="O327"/>
      <c r="P327" s="17">
        <f>Table11[[#This Row],[Gain/Loss]]</f>
        <v>10</v>
      </c>
      <c r="Q327" s="17">
        <f>IF(Table11[[#This Row],[Direction]]="L",0.5,IF(Table11[[#This Row],[Direction]]="M",1.5,2.5))</f>
        <v>2.5</v>
      </c>
      <c r="R327" s="17" t="str">
        <f>IF(Table11[[#This Row],[Direction]]="R","Right",IF(Table11[[#This Row],[Direction]]="L","Left","Middle"))</f>
        <v>Right</v>
      </c>
      <c r="S327" s="17">
        <f>IF(Table11[[#This Row],[Pass Zone]]="S",0.5,IF(Table11[[#This Row],[Pass Zone]]="M",1.5,2.5))</f>
        <v>2.5</v>
      </c>
      <c r="T327" s="139"/>
      <c r="U327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327" s="139"/>
      <c r="W327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328" spans="1:23" x14ac:dyDescent="0.25">
      <c r="A328" s="17">
        <v>111</v>
      </c>
      <c r="B328">
        <v>1</v>
      </c>
      <c r="C328">
        <v>1</v>
      </c>
      <c r="D328">
        <v>10</v>
      </c>
      <c r="E328">
        <v>45</v>
      </c>
      <c r="F328">
        <v>9</v>
      </c>
      <c r="G328" t="s">
        <v>66</v>
      </c>
      <c r="J328" t="s">
        <v>12</v>
      </c>
      <c r="K328" t="s">
        <v>72</v>
      </c>
      <c r="L328" t="s">
        <v>74</v>
      </c>
      <c r="M328">
        <v>1</v>
      </c>
      <c r="N328"/>
      <c r="O328"/>
      <c r="P328" s="17">
        <f>Table11[[#This Row],[Gain/Loss]]</f>
        <v>9</v>
      </c>
      <c r="Q328" s="17">
        <f>IF(Table11[[#This Row],[Direction]]="L",0.5,IF(Table11[[#This Row],[Direction]]="M",1.5,2.5))</f>
        <v>0.5</v>
      </c>
      <c r="R328" s="17" t="str">
        <f>IF(Table11[[#This Row],[Direction]]="R","Right",IF(Table11[[#This Row],[Direction]]="L","Left","Middle"))</f>
        <v>Left</v>
      </c>
      <c r="S328" s="17">
        <f>IF(Table11[[#This Row],[Pass Zone]]="S",0.5,IF(Table11[[#This Row],[Pass Zone]]="M",1.5,2.5))</f>
        <v>2.5</v>
      </c>
      <c r="T328" s="139"/>
      <c r="U328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328" s="139"/>
      <c r="W328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</row>
    <row r="329" spans="1:23" x14ac:dyDescent="0.25">
      <c r="A329" s="17">
        <v>112</v>
      </c>
      <c r="B329">
        <v>2</v>
      </c>
      <c r="C329">
        <v>2</v>
      </c>
      <c r="D329">
        <v>1</v>
      </c>
      <c r="E329">
        <v>36</v>
      </c>
      <c r="F329">
        <v>0</v>
      </c>
      <c r="G329" t="s">
        <v>66</v>
      </c>
      <c r="J329" t="s">
        <v>12</v>
      </c>
      <c r="K329" t="s">
        <v>66</v>
      </c>
      <c r="L329" t="s">
        <v>74</v>
      </c>
      <c r="M329">
        <v>1</v>
      </c>
      <c r="N329"/>
      <c r="O329"/>
      <c r="P329" s="17">
        <f>Table11[[#This Row],[Gain/Loss]]</f>
        <v>0</v>
      </c>
      <c r="Q329" s="17">
        <f>IF(Table11[[#This Row],[Direction]]="L",0.5,IF(Table11[[#This Row],[Direction]]="M",1.5,2.5))</f>
        <v>2.5</v>
      </c>
      <c r="R329" s="17" t="str">
        <f>IF(Table11[[#This Row],[Direction]]="R","Right",IF(Table11[[#This Row],[Direction]]="L","Left","Middle"))</f>
        <v>Right</v>
      </c>
      <c r="S329" s="17">
        <f>IF(Table11[[#This Row],[Pass Zone]]="S",0.5,IF(Table11[[#This Row],[Pass Zone]]="M",1.5,2.5))</f>
        <v>2.5</v>
      </c>
      <c r="T329" s="139"/>
      <c r="U329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329" s="139"/>
      <c r="W329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</row>
    <row r="330" spans="1:23" x14ac:dyDescent="0.25">
      <c r="A330" s="17">
        <v>113</v>
      </c>
      <c r="B330">
        <v>3</v>
      </c>
      <c r="C330">
        <v>3</v>
      </c>
      <c r="D330">
        <v>1</v>
      </c>
      <c r="E330">
        <v>36</v>
      </c>
      <c r="F330">
        <v>6</v>
      </c>
      <c r="G330" t="s">
        <v>66</v>
      </c>
      <c r="J330" t="s">
        <v>12</v>
      </c>
      <c r="K330" t="s">
        <v>66</v>
      </c>
      <c r="L330" t="s">
        <v>74</v>
      </c>
      <c r="M330">
        <v>1</v>
      </c>
      <c r="N330"/>
      <c r="O330"/>
      <c r="P330" s="17">
        <f>Table11[[#This Row],[Gain/Loss]]</f>
        <v>6</v>
      </c>
      <c r="Q330" s="17">
        <f>IF(Table11[[#This Row],[Direction]]="L",0.5,IF(Table11[[#This Row],[Direction]]="M",1.5,2.5))</f>
        <v>2.5</v>
      </c>
      <c r="R330" s="17" t="str">
        <f>IF(Table11[[#This Row],[Direction]]="R","Right",IF(Table11[[#This Row],[Direction]]="L","Left","Middle"))</f>
        <v>Right</v>
      </c>
      <c r="S330" s="17">
        <f>IF(Table11[[#This Row],[Pass Zone]]="S",0.5,IF(Table11[[#This Row],[Pass Zone]]="M",1.5,2.5))</f>
        <v>2.5</v>
      </c>
      <c r="T330" s="139"/>
      <c r="U330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330" s="139"/>
      <c r="W330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</row>
    <row r="331" spans="1:23" x14ac:dyDescent="0.25">
      <c r="A331" s="17">
        <v>115</v>
      </c>
      <c r="B331">
        <v>1</v>
      </c>
      <c r="C331">
        <v>1</v>
      </c>
      <c r="D331">
        <v>10</v>
      </c>
      <c r="E331">
        <v>30</v>
      </c>
      <c r="F331">
        <v>5</v>
      </c>
      <c r="G331" t="s">
        <v>66</v>
      </c>
      <c r="J331" t="s">
        <v>12</v>
      </c>
      <c r="K331" t="s">
        <v>72</v>
      </c>
      <c r="L331" t="s">
        <v>74</v>
      </c>
      <c r="M331">
        <v>1</v>
      </c>
      <c r="N331"/>
      <c r="O331"/>
      <c r="P331" s="17">
        <f>Table11[[#This Row],[Gain/Loss]]</f>
        <v>5</v>
      </c>
      <c r="Q331" s="17">
        <f>IF(Table11[[#This Row],[Direction]]="L",0.5,IF(Table11[[#This Row],[Direction]]="M",1.5,2.5))</f>
        <v>0.5</v>
      </c>
      <c r="R331" s="17" t="str">
        <f>IF(Table11[[#This Row],[Direction]]="R","Right",IF(Table11[[#This Row],[Direction]]="L","Left","Middle"))</f>
        <v>Left</v>
      </c>
      <c r="S331" s="17">
        <f>IF(Table11[[#This Row],[Pass Zone]]="S",0.5,IF(Table11[[#This Row],[Pass Zone]]="M",1.5,2.5))</f>
        <v>2.5</v>
      </c>
      <c r="T331" s="139"/>
      <c r="U331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331" s="139"/>
      <c r="W331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</row>
    <row r="332" spans="1:23" x14ac:dyDescent="0.25">
      <c r="A332" s="17">
        <v>116</v>
      </c>
      <c r="B332">
        <v>2</v>
      </c>
      <c r="C332">
        <v>2</v>
      </c>
      <c r="D332">
        <v>5</v>
      </c>
      <c r="E332">
        <v>25</v>
      </c>
      <c r="F332">
        <v>-2</v>
      </c>
      <c r="G332" t="s">
        <v>66</v>
      </c>
      <c r="J332" t="s">
        <v>12</v>
      </c>
      <c r="K332" t="s">
        <v>66</v>
      </c>
      <c r="L332" t="s">
        <v>74</v>
      </c>
      <c r="M332">
        <v>1</v>
      </c>
      <c r="N332"/>
      <c r="O332"/>
      <c r="P332" s="17">
        <f>Table11[[#This Row],[Gain/Loss]]</f>
        <v>-2</v>
      </c>
      <c r="Q332" s="17">
        <f>IF(Table11[[#This Row],[Direction]]="L",0.5,IF(Table11[[#This Row],[Direction]]="M",1.5,2.5))</f>
        <v>2.5</v>
      </c>
      <c r="R332" s="17" t="str">
        <f>IF(Table11[[#This Row],[Direction]]="R","Right",IF(Table11[[#This Row],[Direction]]="L","Left","Middle"))</f>
        <v>Right</v>
      </c>
      <c r="S332" s="17">
        <f>IF(Table11[[#This Row],[Pass Zone]]="S",0.5,IF(Table11[[#This Row],[Pass Zone]]="M",1.5,2.5))</f>
        <v>2.5</v>
      </c>
      <c r="T332" s="139"/>
      <c r="U332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332" s="139"/>
      <c r="W332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</row>
    <row r="333" spans="1:23" x14ac:dyDescent="0.25">
      <c r="A333" s="17">
        <v>118</v>
      </c>
      <c r="B333">
        <v>3</v>
      </c>
      <c r="C333">
        <v>3</v>
      </c>
      <c r="D333">
        <v>12</v>
      </c>
      <c r="E333">
        <v>32</v>
      </c>
      <c r="F333">
        <v>4</v>
      </c>
      <c r="G333" t="s">
        <v>66</v>
      </c>
      <c r="J333" t="s">
        <v>12</v>
      </c>
      <c r="K333" t="s">
        <v>66</v>
      </c>
      <c r="L333" t="s">
        <v>74</v>
      </c>
      <c r="M333">
        <v>1</v>
      </c>
      <c r="N333"/>
      <c r="O333"/>
      <c r="P333" s="17">
        <f>Table11[[#This Row],[Gain/Loss]]</f>
        <v>4</v>
      </c>
      <c r="Q333" s="17">
        <f>IF(Table11[[#This Row],[Direction]]="L",0.5,IF(Table11[[#This Row],[Direction]]="M",1.5,2.5))</f>
        <v>2.5</v>
      </c>
      <c r="R333" s="17" t="str">
        <f>IF(Table11[[#This Row],[Direction]]="R","Right",IF(Table11[[#This Row],[Direction]]="L","Left","Middle"))</f>
        <v>Right</v>
      </c>
      <c r="S333" s="17">
        <f>IF(Table11[[#This Row],[Pass Zone]]="S",0.5,IF(Table11[[#This Row],[Pass Zone]]="M",1.5,2.5))</f>
        <v>2.5</v>
      </c>
      <c r="T333" s="139"/>
      <c r="U333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333" s="139"/>
      <c r="W333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</row>
    <row r="334" spans="1:23" x14ac:dyDescent="0.25">
      <c r="A334" s="17">
        <v>119</v>
      </c>
      <c r="B334">
        <v>4</v>
      </c>
      <c r="C334">
        <v>4</v>
      </c>
      <c r="D334">
        <v>10</v>
      </c>
      <c r="E334">
        <v>28</v>
      </c>
      <c r="F334">
        <v>28</v>
      </c>
      <c r="G334" t="s">
        <v>66</v>
      </c>
      <c r="J334" t="s">
        <v>13</v>
      </c>
      <c r="K334" t="s">
        <v>72</v>
      </c>
      <c r="L334"/>
      <c r="M334">
        <v>1</v>
      </c>
      <c r="N334">
        <v>1</v>
      </c>
      <c r="O334" t="s">
        <v>71</v>
      </c>
      <c r="P334" s="17">
        <f>Table11[[#This Row],[Gain/Loss]]</f>
        <v>28</v>
      </c>
      <c r="Q334" s="17">
        <f>IF(Table11[[#This Row],[Direction]]="L",0.5,IF(Table11[[#This Row],[Direction]]="M",1.5,2.5))</f>
        <v>0.5</v>
      </c>
      <c r="R334" s="17" t="str">
        <f>IF(Table11[[#This Row],[Direction]]="R","Right",IF(Table11[[#This Row],[Direction]]="L","Left","Middle"))</f>
        <v>Left</v>
      </c>
      <c r="S334" s="17">
        <f>IF(Table11[[#This Row],[Pass Zone]]="S",0.5,IF(Table11[[#This Row],[Pass Zone]]="M",1.5,2.5))</f>
        <v>2.5</v>
      </c>
      <c r="T334" s="139"/>
      <c r="U334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334" s="139"/>
      <c r="W334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</row>
    <row r="335" spans="1:23" x14ac:dyDescent="0.25">
      <c r="A335" s="17">
        <v>138</v>
      </c>
      <c r="B335">
        <v>1</v>
      </c>
      <c r="C335">
        <v>1</v>
      </c>
      <c r="D335">
        <v>10</v>
      </c>
      <c r="E335">
        <v>-33</v>
      </c>
      <c r="F335">
        <v>-12</v>
      </c>
      <c r="G335" t="s">
        <v>72</v>
      </c>
      <c r="J335" t="s">
        <v>13</v>
      </c>
      <c r="K335" t="s">
        <v>70</v>
      </c>
      <c r="L335"/>
      <c r="M335">
        <v>1</v>
      </c>
      <c r="N335">
        <v>0</v>
      </c>
      <c r="O335" t="s">
        <v>67</v>
      </c>
      <c r="P335" s="17">
        <f>Table11[[#This Row],[Gain/Loss]]</f>
        <v>-12</v>
      </c>
      <c r="Q335" s="17">
        <f>IF(Table11[[#This Row],[Direction]]="L",0.5,IF(Table11[[#This Row],[Direction]]="M",1.5,2.5))</f>
        <v>1.5</v>
      </c>
      <c r="R335" s="17" t="str">
        <f>IF(Table11[[#This Row],[Direction]]="R","Right",IF(Table11[[#This Row],[Direction]]="L","Left","Middle"))</f>
        <v>Middle</v>
      </c>
      <c r="S335" s="17">
        <f>IF(Table11[[#This Row],[Pass Zone]]="S",0.5,IF(Table11[[#This Row],[Pass Zone]]="M",1.5,2.5))</f>
        <v>0.5</v>
      </c>
      <c r="T335" s="139"/>
      <c r="U335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335" s="139"/>
      <c r="W335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336" spans="1:23" x14ac:dyDescent="0.25">
      <c r="A336" s="17">
        <v>139</v>
      </c>
      <c r="B336">
        <v>2</v>
      </c>
      <c r="C336">
        <v>2</v>
      </c>
      <c r="D336">
        <v>22</v>
      </c>
      <c r="E336">
        <v>-21</v>
      </c>
      <c r="F336">
        <v>0</v>
      </c>
      <c r="G336" t="s">
        <v>70</v>
      </c>
      <c r="J336" t="s">
        <v>13</v>
      </c>
      <c r="K336" t="s">
        <v>66</v>
      </c>
      <c r="L336"/>
      <c r="M336">
        <v>1</v>
      </c>
      <c r="N336">
        <v>0</v>
      </c>
      <c r="O336"/>
      <c r="P336" s="17">
        <f>Table11[[#This Row],[Gain/Loss]]</f>
        <v>0</v>
      </c>
      <c r="Q336" s="17">
        <f>IF(Table11[[#This Row],[Direction]]="L",0.5,IF(Table11[[#This Row],[Direction]]="M",1.5,2.5))</f>
        <v>2.5</v>
      </c>
      <c r="R336" s="17" t="str">
        <f>IF(Table11[[#This Row],[Direction]]="R","Right",IF(Table11[[#This Row],[Direction]]="L","Left","Middle"))</f>
        <v>Right</v>
      </c>
      <c r="S336" s="17">
        <f>IF(Table11[[#This Row],[Pass Zone]]="S",0.5,IF(Table11[[#This Row],[Pass Zone]]="M",1.5,2.5))</f>
        <v>2.5</v>
      </c>
      <c r="T336" s="139"/>
      <c r="U336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336" s="139"/>
      <c r="W336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337" spans="1:23" x14ac:dyDescent="0.25">
      <c r="A337" s="17">
        <v>140</v>
      </c>
      <c r="B337">
        <v>3</v>
      </c>
      <c r="C337">
        <v>3</v>
      </c>
      <c r="D337">
        <v>22</v>
      </c>
      <c r="E337">
        <v>-21</v>
      </c>
      <c r="F337">
        <v>6</v>
      </c>
      <c r="G337" t="s">
        <v>70</v>
      </c>
      <c r="J337" t="s">
        <v>12</v>
      </c>
      <c r="K337" t="s">
        <v>66</v>
      </c>
      <c r="L337" t="s">
        <v>74</v>
      </c>
      <c r="M337">
        <v>1</v>
      </c>
      <c r="N337"/>
      <c r="O337"/>
      <c r="P337" s="17">
        <f>Table11[[#This Row],[Gain/Loss]]</f>
        <v>6</v>
      </c>
      <c r="Q337" s="17">
        <f>IF(Table11[[#This Row],[Direction]]="L",0.5,IF(Table11[[#This Row],[Direction]]="M",1.5,2.5))</f>
        <v>2.5</v>
      </c>
      <c r="R337" s="17" t="str">
        <f>IF(Table11[[#This Row],[Direction]]="R","Right",IF(Table11[[#This Row],[Direction]]="L","Left","Middle"))</f>
        <v>Right</v>
      </c>
      <c r="S337" s="17">
        <f>IF(Table11[[#This Row],[Pass Zone]]="S",0.5,IF(Table11[[#This Row],[Pass Zone]]="M",1.5,2.5))</f>
        <v>2.5</v>
      </c>
      <c r="T337" s="139"/>
      <c r="U337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337" s="139"/>
      <c r="W337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338" spans="1:23" x14ac:dyDescent="0.25">
      <c r="A338" s="17">
        <v>148</v>
      </c>
      <c r="B338">
        <v>1</v>
      </c>
      <c r="C338">
        <v>1</v>
      </c>
      <c r="D338">
        <v>10</v>
      </c>
      <c r="E338">
        <v>-24</v>
      </c>
      <c r="F338">
        <v>0</v>
      </c>
      <c r="G338" t="s">
        <v>72</v>
      </c>
      <c r="J338" t="s">
        <v>13</v>
      </c>
      <c r="K338" t="s">
        <v>66</v>
      </c>
      <c r="L338"/>
      <c r="M338">
        <v>1</v>
      </c>
      <c r="N338">
        <v>0</v>
      </c>
      <c r="O338"/>
      <c r="P338" s="17">
        <f>Table11[[#This Row],[Gain/Loss]]</f>
        <v>0</v>
      </c>
      <c r="Q338" s="17">
        <f>IF(Table11[[#This Row],[Direction]]="L",0.5,IF(Table11[[#This Row],[Direction]]="M",1.5,2.5))</f>
        <v>2.5</v>
      </c>
      <c r="R338" s="17" t="str">
        <f>IF(Table11[[#This Row],[Direction]]="R","Right",IF(Table11[[#This Row],[Direction]]="L","Left","Middle"))</f>
        <v>Right</v>
      </c>
      <c r="S338" s="17">
        <f>IF(Table11[[#This Row],[Pass Zone]]="S",0.5,IF(Table11[[#This Row],[Pass Zone]]="M",1.5,2.5))</f>
        <v>2.5</v>
      </c>
      <c r="T338" s="139"/>
      <c r="U338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338" s="139"/>
      <c r="W338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339" spans="1:23" x14ac:dyDescent="0.25">
      <c r="A339" s="17">
        <v>149</v>
      </c>
      <c r="B339">
        <v>2</v>
      </c>
      <c r="C339">
        <v>2</v>
      </c>
      <c r="D339">
        <v>10</v>
      </c>
      <c r="E339">
        <v>-24</v>
      </c>
      <c r="F339">
        <v>3</v>
      </c>
      <c r="G339" t="s">
        <v>72</v>
      </c>
      <c r="J339" t="s">
        <v>12</v>
      </c>
      <c r="K339" t="s">
        <v>66</v>
      </c>
      <c r="L339" t="s">
        <v>75</v>
      </c>
      <c r="M339">
        <v>1</v>
      </c>
      <c r="N339"/>
      <c r="O339"/>
      <c r="P339" s="17">
        <f>Table11[[#This Row],[Gain/Loss]]</f>
        <v>3</v>
      </c>
      <c r="Q339" s="17">
        <f>IF(Table11[[#This Row],[Direction]]="L",0.5,IF(Table11[[#This Row],[Direction]]="M",1.5,2.5))</f>
        <v>2.5</v>
      </c>
      <c r="R339" s="17" t="str">
        <f>IF(Table11[[#This Row],[Direction]]="R","Right",IF(Table11[[#This Row],[Direction]]="L","Left","Middle"))</f>
        <v>Right</v>
      </c>
      <c r="S339" s="17">
        <f>IF(Table11[[#This Row],[Pass Zone]]="S",0.5,IF(Table11[[#This Row],[Pass Zone]]="M",1.5,2.5))</f>
        <v>2.5</v>
      </c>
      <c r="T339" s="139"/>
      <c r="U339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339" s="139"/>
      <c r="W339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340" spans="1:23" x14ac:dyDescent="0.25">
      <c r="A340" s="17">
        <v>150</v>
      </c>
      <c r="B340">
        <v>3</v>
      </c>
      <c r="C340">
        <v>3</v>
      </c>
      <c r="D340">
        <v>7</v>
      </c>
      <c r="E340">
        <v>-27</v>
      </c>
      <c r="F340">
        <v>0</v>
      </c>
      <c r="G340" t="s">
        <v>70</v>
      </c>
      <c r="J340" t="s">
        <v>13</v>
      </c>
      <c r="K340" t="s">
        <v>66</v>
      </c>
      <c r="L340"/>
      <c r="M340">
        <v>1</v>
      </c>
      <c r="N340">
        <v>0</v>
      </c>
      <c r="O340"/>
      <c r="P340" s="17">
        <f>Table11[[#This Row],[Gain/Loss]]</f>
        <v>0</v>
      </c>
      <c r="Q340" s="17">
        <f>IF(Table11[[#This Row],[Direction]]="L",0.5,IF(Table11[[#This Row],[Direction]]="M",1.5,2.5))</f>
        <v>2.5</v>
      </c>
      <c r="R340" s="17" t="str">
        <f>IF(Table11[[#This Row],[Direction]]="R","Right",IF(Table11[[#This Row],[Direction]]="L","Left","Middle"))</f>
        <v>Right</v>
      </c>
      <c r="S340" s="17">
        <f>IF(Table11[[#This Row],[Pass Zone]]="S",0.5,IF(Table11[[#This Row],[Pass Zone]]="M",1.5,2.5))</f>
        <v>2.5</v>
      </c>
      <c r="T340" s="139"/>
      <c r="U340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340" s="139"/>
      <c r="W340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341" spans="1:23" x14ac:dyDescent="0.25">
      <c r="A341" s="17">
        <v>159</v>
      </c>
      <c r="B341">
        <v>1</v>
      </c>
      <c r="C341">
        <v>1</v>
      </c>
      <c r="D341">
        <v>10</v>
      </c>
      <c r="E341">
        <v>-23</v>
      </c>
      <c r="F341">
        <v>12</v>
      </c>
      <c r="G341" t="s">
        <v>72</v>
      </c>
      <c r="J341" t="s">
        <v>12</v>
      </c>
      <c r="K341" t="s">
        <v>72</v>
      </c>
      <c r="L341" t="s">
        <v>74</v>
      </c>
      <c r="M341">
        <v>1</v>
      </c>
      <c r="N341"/>
      <c r="O341"/>
      <c r="P341" s="17">
        <f>Table11[[#This Row],[Gain/Loss]]</f>
        <v>12</v>
      </c>
      <c r="Q341" s="17">
        <f>IF(Table11[[#This Row],[Direction]]="L",0.5,IF(Table11[[#This Row],[Direction]]="M",1.5,2.5))</f>
        <v>0.5</v>
      </c>
      <c r="R341" s="17" t="str">
        <f>IF(Table11[[#This Row],[Direction]]="R","Right",IF(Table11[[#This Row],[Direction]]="L","Left","Middle"))</f>
        <v>Left</v>
      </c>
      <c r="S341" s="17">
        <f>IF(Table11[[#This Row],[Pass Zone]]="S",0.5,IF(Table11[[#This Row],[Pass Zone]]="M",1.5,2.5))</f>
        <v>2.5</v>
      </c>
      <c r="T341" s="139"/>
      <c r="U341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341" s="139"/>
      <c r="W341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342" spans="1:23" x14ac:dyDescent="0.25">
      <c r="A342" s="17">
        <v>162</v>
      </c>
      <c r="B342">
        <v>1</v>
      </c>
      <c r="C342">
        <v>1</v>
      </c>
      <c r="D342">
        <v>10</v>
      </c>
      <c r="E342">
        <v>-45</v>
      </c>
      <c r="F342">
        <v>-1</v>
      </c>
      <c r="G342" t="s">
        <v>70</v>
      </c>
      <c r="J342" t="s">
        <v>12</v>
      </c>
      <c r="K342" t="s">
        <v>72</v>
      </c>
      <c r="L342" t="s">
        <v>74</v>
      </c>
      <c r="M342">
        <v>1</v>
      </c>
      <c r="N342"/>
      <c r="O342"/>
      <c r="P342" s="17">
        <f>Table11[[#This Row],[Gain/Loss]]</f>
        <v>-1</v>
      </c>
      <c r="Q342" s="17">
        <f>IF(Table11[[#This Row],[Direction]]="L",0.5,IF(Table11[[#This Row],[Direction]]="M",1.5,2.5))</f>
        <v>0.5</v>
      </c>
      <c r="R342" s="17" t="str">
        <f>IF(Table11[[#This Row],[Direction]]="R","Right",IF(Table11[[#This Row],[Direction]]="L","Left","Middle"))</f>
        <v>Left</v>
      </c>
      <c r="S342" s="17">
        <f>IF(Table11[[#This Row],[Pass Zone]]="S",0.5,IF(Table11[[#This Row],[Pass Zone]]="M",1.5,2.5))</f>
        <v>2.5</v>
      </c>
      <c r="T342" s="139"/>
      <c r="U342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342" s="139"/>
      <c r="W342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343" spans="1:23" x14ac:dyDescent="0.25">
      <c r="A343" s="17">
        <v>164</v>
      </c>
      <c r="B343">
        <v>2</v>
      </c>
      <c r="C343">
        <v>2</v>
      </c>
      <c r="D343">
        <v>11</v>
      </c>
      <c r="E343">
        <v>-44</v>
      </c>
      <c r="F343">
        <v>31</v>
      </c>
      <c r="G343" t="s">
        <v>70</v>
      </c>
      <c r="J343" t="s">
        <v>12</v>
      </c>
      <c r="K343" t="s">
        <v>66</v>
      </c>
      <c r="L343" t="s">
        <v>74</v>
      </c>
      <c r="M343">
        <v>1</v>
      </c>
      <c r="N343"/>
      <c r="O343"/>
      <c r="P343" s="17">
        <f>Table11[[#This Row],[Gain/Loss]]</f>
        <v>31</v>
      </c>
      <c r="Q343" s="17">
        <f>IF(Table11[[#This Row],[Direction]]="L",0.5,IF(Table11[[#This Row],[Direction]]="M",1.5,2.5))</f>
        <v>2.5</v>
      </c>
      <c r="R343" s="17" t="str">
        <f>IF(Table11[[#This Row],[Direction]]="R","Right",IF(Table11[[#This Row],[Direction]]="L","Left","Middle"))</f>
        <v>Right</v>
      </c>
      <c r="S343" s="17">
        <f>IF(Table11[[#This Row],[Pass Zone]]="S",0.5,IF(Table11[[#This Row],[Pass Zone]]="M",1.5,2.5))</f>
        <v>2.5</v>
      </c>
      <c r="T343" s="139"/>
      <c r="U343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343" s="139"/>
      <c r="W343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344" spans="1:23" x14ac:dyDescent="0.25">
      <c r="A344" s="17">
        <v>168</v>
      </c>
      <c r="B344">
        <v>1</v>
      </c>
      <c r="C344">
        <v>1</v>
      </c>
      <c r="D344">
        <v>10</v>
      </c>
      <c r="E344">
        <v>25</v>
      </c>
      <c r="F344">
        <v>0</v>
      </c>
      <c r="G344" t="s">
        <v>66</v>
      </c>
      <c r="J344" t="s">
        <v>12</v>
      </c>
      <c r="K344" t="s">
        <v>72</v>
      </c>
      <c r="L344" t="s">
        <v>74</v>
      </c>
      <c r="M344">
        <v>1</v>
      </c>
      <c r="N344"/>
      <c r="O344"/>
      <c r="P344" s="17">
        <f>Table11[[#This Row],[Gain/Loss]]</f>
        <v>0</v>
      </c>
      <c r="Q344" s="17">
        <f>IF(Table11[[#This Row],[Direction]]="L",0.5,IF(Table11[[#This Row],[Direction]]="M",1.5,2.5))</f>
        <v>0.5</v>
      </c>
      <c r="R344" s="17" t="str">
        <f>IF(Table11[[#This Row],[Direction]]="R","Right",IF(Table11[[#This Row],[Direction]]="L","Left","Middle"))</f>
        <v>Left</v>
      </c>
      <c r="S344" s="17">
        <f>IF(Table11[[#This Row],[Pass Zone]]="S",0.5,IF(Table11[[#This Row],[Pass Zone]]="M",1.5,2.5))</f>
        <v>2.5</v>
      </c>
      <c r="T344" s="139"/>
      <c r="U344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344" s="139"/>
      <c r="W344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</row>
    <row r="345" spans="1:23" x14ac:dyDescent="0.25">
      <c r="A345" s="17">
        <v>182</v>
      </c>
      <c r="B345">
        <v>1</v>
      </c>
      <c r="C345">
        <v>1</v>
      </c>
      <c r="D345">
        <v>10</v>
      </c>
      <c r="E345">
        <v>-36</v>
      </c>
      <c r="F345">
        <v>1</v>
      </c>
      <c r="G345" t="s">
        <v>72</v>
      </c>
      <c r="J345" t="s">
        <v>12</v>
      </c>
      <c r="K345" t="s">
        <v>66</v>
      </c>
      <c r="L345" t="s">
        <v>74</v>
      </c>
      <c r="M345">
        <v>1</v>
      </c>
      <c r="N345"/>
      <c r="O345"/>
      <c r="P345" s="17">
        <f>Table11[[#This Row],[Gain/Loss]]</f>
        <v>1</v>
      </c>
      <c r="Q345" s="17">
        <f>IF(Table11[[#This Row],[Direction]]="L",0.5,IF(Table11[[#This Row],[Direction]]="M",1.5,2.5))</f>
        <v>2.5</v>
      </c>
      <c r="R345" s="17" t="str">
        <f>IF(Table11[[#This Row],[Direction]]="R","Right",IF(Table11[[#This Row],[Direction]]="L","Left","Middle"))</f>
        <v>Right</v>
      </c>
      <c r="S345" s="17">
        <f>IF(Table11[[#This Row],[Pass Zone]]="S",0.5,IF(Table11[[#This Row],[Pass Zone]]="M",1.5,2.5))</f>
        <v>2.5</v>
      </c>
      <c r="T345" s="139"/>
      <c r="U345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345" s="139"/>
      <c r="W345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346" spans="1:23" x14ac:dyDescent="0.25">
      <c r="A346" s="17">
        <v>183</v>
      </c>
      <c r="B346">
        <v>2</v>
      </c>
      <c r="C346">
        <v>2</v>
      </c>
      <c r="D346">
        <v>9</v>
      </c>
      <c r="E346">
        <v>-37</v>
      </c>
      <c r="F346">
        <v>3</v>
      </c>
      <c r="G346" t="s">
        <v>72</v>
      </c>
      <c r="J346" t="s">
        <v>12</v>
      </c>
      <c r="K346" t="s">
        <v>66</v>
      </c>
      <c r="L346" t="s">
        <v>74</v>
      </c>
      <c r="M346">
        <v>1</v>
      </c>
      <c r="N346"/>
      <c r="O346"/>
      <c r="P346" s="17">
        <f>Table11[[#This Row],[Gain/Loss]]</f>
        <v>3</v>
      </c>
      <c r="Q346" s="17">
        <f>IF(Table11[[#This Row],[Direction]]="L",0.5,IF(Table11[[#This Row],[Direction]]="M",1.5,2.5))</f>
        <v>2.5</v>
      </c>
      <c r="R346" s="17" t="str">
        <f>IF(Table11[[#This Row],[Direction]]="R","Right",IF(Table11[[#This Row],[Direction]]="L","Left","Middle"))</f>
        <v>Right</v>
      </c>
      <c r="S346" s="17">
        <f>IF(Table11[[#This Row],[Pass Zone]]="S",0.5,IF(Table11[[#This Row],[Pass Zone]]="M",1.5,2.5))</f>
        <v>2.5</v>
      </c>
      <c r="T346" s="139"/>
      <c r="U346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346" s="139"/>
      <c r="W346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347" spans="1:23" x14ac:dyDescent="0.25">
      <c r="A347" s="17">
        <v>184</v>
      </c>
      <c r="B347">
        <v>3</v>
      </c>
      <c r="C347">
        <v>3</v>
      </c>
      <c r="D347">
        <v>6</v>
      </c>
      <c r="E347">
        <v>-40</v>
      </c>
      <c r="F347">
        <v>-2</v>
      </c>
      <c r="G347" t="s">
        <v>66</v>
      </c>
      <c r="J347" t="s">
        <v>12</v>
      </c>
      <c r="K347" t="s">
        <v>72</v>
      </c>
      <c r="L347" t="s">
        <v>74</v>
      </c>
      <c r="M347">
        <v>1</v>
      </c>
      <c r="N347"/>
      <c r="O347"/>
      <c r="P347" s="17">
        <f>Table11[[#This Row],[Gain/Loss]]</f>
        <v>-2</v>
      </c>
      <c r="Q347" s="17">
        <f>IF(Table11[[#This Row],[Direction]]="L",0.5,IF(Table11[[#This Row],[Direction]]="M",1.5,2.5))</f>
        <v>0.5</v>
      </c>
      <c r="R347" s="17" t="str">
        <f>IF(Table11[[#This Row],[Direction]]="R","Right",IF(Table11[[#This Row],[Direction]]="L","Left","Middle"))</f>
        <v>Left</v>
      </c>
      <c r="S347" s="17">
        <f>IF(Table11[[#This Row],[Pass Zone]]="S",0.5,IF(Table11[[#This Row],[Pass Zone]]="M",1.5,2.5))</f>
        <v>2.5</v>
      </c>
      <c r="T347" s="139"/>
      <c r="U347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347" s="139"/>
      <c r="W347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348" spans="1:23" x14ac:dyDescent="0.25">
      <c r="A348" s="17">
        <v>193</v>
      </c>
      <c r="B348">
        <v>1</v>
      </c>
      <c r="C348">
        <v>1</v>
      </c>
      <c r="D348">
        <v>10</v>
      </c>
      <c r="E348">
        <v>-49</v>
      </c>
      <c r="F348">
        <v>0</v>
      </c>
      <c r="G348" t="s">
        <v>70</v>
      </c>
      <c r="J348" t="s">
        <v>12</v>
      </c>
      <c r="K348" t="s">
        <v>66</v>
      </c>
      <c r="L348" t="s">
        <v>74</v>
      </c>
      <c r="M348">
        <v>1</v>
      </c>
      <c r="N348"/>
      <c r="O348"/>
      <c r="P348" s="17">
        <f>Table11[[#This Row],[Gain/Loss]]</f>
        <v>0</v>
      </c>
      <c r="Q348" s="17">
        <f>IF(Table11[[#This Row],[Direction]]="L",0.5,IF(Table11[[#This Row],[Direction]]="M",1.5,2.5))</f>
        <v>2.5</v>
      </c>
      <c r="R348" s="17" t="str">
        <f>IF(Table11[[#This Row],[Direction]]="R","Right",IF(Table11[[#This Row],[Direction]]="L","Left","Middle"))</f>
        <v>Right</v>
      </c>
      <c r="S348" s="17">
        <f>IF(Table11[[#This Row],[Pass Zone]]="S",0.5,IF(Table11[[#This Row],[Pass Zone]]="M",1.5,2.5))</f>
        <v>2.5</v>
      </c>
      <c r="T348" s="139"/>
      <c r="U348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348" s="139"/>
      <c r="W348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349" spans="1:23" x14ac:dyDescent="0.25">
      <c r="A349" s="17">
        <v>18</v>
      </c>
      <c r="B349">
        <v>1</v>
      </c>
      <c r="C349">
        <v>1</v>
      </c>
      <c r="D349">
        <v>10</v>
      </c>
      <c r="E349">
        <v>46</v>
      </c>
      <c r="F349">
        <v>-1</v>
      </c>
      <c r="G349" t="s">
        <v>66</v>
      </c>
      <c r="J349" t="s">
        <v>12</v>
      </c>
      <c r="K349" t="s">
        <v>72</v>
      </c>
      <c r="L349" t="s">
        <v>74</v>
      </c>
      <c r="M349">
        <v>1</v>
      </c>
      <c r="N349"/>
      <c r="O349"/>
      <c r="P349" s="17">
        <f>Table11[[#This Row],[Gain/Loss]]</f>
        <v>-1</v>
      </c>
      <c r="Q349" s="17">
        <f>IF(Table11[[#This Row],[Direction]]="L",0.5,IF(Table11[[#This Row],[Direction]]="M",1.5,2.5))</f>
        <v>0.5</v>
      </c>
      <c r="R349" s="17" t="str">
        <f>IF(Table11[[#This Row],[Direction]]="R","Right",IF(Table11[[#This Row],[Direction]]="L","Left","Middle"))</f>
        <v>Left</v>
      </c>
      <c r="S349" s="17">
        <f>IF(Table11[[#This Row],[Pass Zone]]="S",0.5,IF(Table11[[#This Row],[Pass Zone]]="M",1.5,2.5))</f>
        <v>2.5</v>
      </c>
      <c r="T349" s="139"/>
      <c r="U349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349" s="139"/>
      <c r="W349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</row>
    <row r="350" spans="1:23" x14ac:dyDescent="0.25">
      <c r="A350" s="17">
        <v>19</v>
      </c>
      <c r="B350">
        <v>2</v>
      </c>
      <c r="C350">
        <v>2</v>
      </c>
      <c r="D350">
        <v>11</v>
      </c>
      <c r="E350">
        <v>47</v>
      </c>
      <c r="F350">
        <v>1</v>
      </c>
      <c r="G350" t="s">
        <v>66</v>
      </c>
      <c r="J350" t="s">
        <v>12</v>
      </c>
      <c r="K350" t="s">
        <v>72</v>
      </c>
      <c r="L350" t="s">
        <v>74</v>
      </c>
      <c r="M350">
        <v>1</v>
      </c>
      <c r="N350"/>
      <c r="O350"/>
      <c r="P350" s="17">
        <f>Table11[[#This Row],[Gain/Loss]]</f>
        <v>1</v>
      </c>
      <c r="Q350" s="17">
        <f>IF(Table11[[#This Row],[Direction]]="L",0.5,IF(Table11[[#This Row],[Direction]]="M",1.5,2.5))</f>
        <v>0.5</v>
      </c>
      <c r="R350" s="17" t="str">
        <f>IF(Table11[[#This Row],[Direction]]="R","Right",IF(Table11[[#This Row],[Direction]]="L","Left","Middle"))</f>
        <v>Left</v>
      </c>
      <c r="S350" s="17">
        <f>IF(Table11[[#This Row],[Pass Zone]]="S",0.5,IF(Table11[[#This Row],[Pass Zone]]="M",1.5,2.5))</f>
        <v>2.5</v>
      </c>
      <c r="T350" s="139"/>
      <c r="U350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350" s="139"/>
      <c r="W350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</row>
    <row r="351" spans="1:23" x14ac:dyDescent="0.25">
      <c r="A351" s="17">
        <v>20</v>
      </c>
      <c r="B351">
        <v>3</v>
      </c>
      <c r="C351">
        <v>3</v>
      </c>
      <c r="D351">
        <v>10</v>
      </c>
      <c r="E351">
        <v>46</v>
      </c>
      <c r="F351">
        <v>0</v>
      </c>
      <c r="G351" t="s">
        <v>66</v>
      </c>
      <c r="J351" t="s">
        <v>13</v>
      </c>
      <c r="K351" t="s">
        <v>72</v>
      </c>
      <c r="L351"/>
      <c r="M351">
        <v>1</v>
      </c>
      <c r="N351">
        <v>0</v>
      </c>
      <c r="O351"/>
      <c r="P351" s="17">
        <f>Table11[[#This Row],[Gain/Loss]]</f>
        <v>0</v>
      </c>
      <c r="Q351" s="17">
        <f>IF(Table11[[#This Row],[Direction]]="L",0.5,IF(Table11[[#This Row],[Direction]]="M",1.5,2.5))</f>
        <v>0.5</v>
      </c>
      <c r="R351" s="17" t="str">
        <f>IF(Table11[[#This Row],[Direction]]="R","Right",IF(Table11[[#This Row],[Direction]]="L","Left","Middle"))</f>
        <v>Left</v>
      </c>
      <c r="S351" s="17">
        <f>IF(Table11[[#This Row],[Pass Zone]]="S",0.5,IF(Table11[[#This Row],[Pass Zone]]="M",1.5,2.5))</f>
        <v>2.5</v>
      </c>
      <c r="T351" s="139"/>
      <c r="U351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351" s="139"/>
      <c r="W351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</row>
    <row r="352" spans="1:23" x14ac:dyDescent="0.25">
      <c r="A352" s="17">
        <v>38</v>
      </c>
      <c r="B352">
        <v>1</v>
      </c>
      <c r="C352">
        <v>1</v>
      </c>
      <c r="D352">
        <v>10</v>
      </c>
      <c r="E352">
        <v>-28</v>
      </c>
      <c r="F352">
        <v>2</v>
      </c>
      <c r="G352" t="s">
        <v>70</v>
      </c>
      <c r="J352" t="s">
        <v>12</v>
      </c>
      <c r="K352" t="s">
        <v>72</v>
      </c>
      <c r="L352" t="s">
        <v>74</v>
      </c>
      <c r="M352">
        <v>1</v>
      </c>
      <c r="N352"/>
      <c r="O352"/>
      <c r="P352" s="17">
        <f>Table11[[#This Row],[Gain/Loss]]</f>
        <v>2</v>
      </c>
      <c r="Q352" s="17">
        <f>IF(Table11[[#This Row],[Direction]]="L",0.5,IF(Table11[[#This Row],[Direction]]="M",1.5,2.5))</f>
        <v>0.5</v>
      </c>
      <c r="R352" s="17" t="str">
        <f>IF(Table11[[#This Row],[Direction]]="R","Right",IF(Table11[[#This Row],[Direction]]="L","Left","Middle"))</f>
        <v>Left</v>
      </c>
      <c r="S352" s="17">
        <f>IF(Table11[[#This Row],[Pass Zone]]="S",0.5,IF(Table11[[#This Row],[Pass Zone]]="M",1.5,2.5))</f>
        <v>2.5</v>
      </c>
      <c r="T352" s="139"/>
      <c r="U352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352" s="139"/>
      <c r="W352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353" spans="1:23" x14ac:dyDescent="0.25">
      <c r="A353" s="17">
        <v>39</v>
      </c>
      <c r="B353">
        <v>2</v>
      </c>
      <c r="C353">
        <v>2</v>
      </c>
      <c r="D353">
        <v>8</v>
      </c>
      <c r="E353">
        <v>-30</v>
      </c>
      <c r="F353">
        <v>10</v>
      </c>
      <c r="G353" t="s">
        <v>72</v>
      </c>
      <c r="J353" t="s">
        <v>12</v>
      </c>
      <c r="K353" t="s">
        <v>66</v>
      </c>
      <c r="L353" t="s">
        <v>74</v>
      </c>
      <c r="M353">
        <v>1</v>
      </c>
      <c r="N353"/>
      <c r="O353"/>
      <c r="P353" s="17">
        <f>Table11[[#This Row],[Gain/Loss]]</f>
        <v>10</v>
      </c>
      <c r="Q353" s="17">
        <f>IF(Table11[[#This Row],[Direction]]="L",0.5,IF(Table11[[#This Row],[Direction]]="M",1.5,2.5))</f>
        <v>2.5</v>
      </c>
      <c r="R353" s="17" t="str">
        <f>IF(Table11[[#This Row],[Direction]]="R","Right",IF(Table11[[#This Row],[Direction]]="L","Left","Middle"))</f>
        <v>Right</v>
      </c>
      <c r="S353" s="17">
        <f>IF(Table11[[#This Row],[Pass Zone]]="S",0.5,IF(Table11[[#This Row],[Pass Zone]]="M",1.5,2.5))</f>
        <v>2.5</v>
      </c>
      <c r="T353" s="139"/>
      <c r="U353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353" s="139"/>
      <c r="W353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354" spans="1:23" x14ac:dyDescent="0.25">
      <c r="A354" s="17">
        <v>40</v>
      </c>
      <c r="B354">
        <v>1</v>
      </c>
      <c r="C354">
        <v>1</v>
      </c>
      <c r="D354">
        <v>10</v>
      </c>
      <c r="E354">
        <v>-40</v>
      </c>
      <c r="F354">
        <v>5</v>
      </c>
      <c r="G354" t="s">
        <v>66</v>
      </c>
      <c r="J354" t="s">
        <v>12</v>
      </c>
      <c r="K354" t="s">
        <v>72</v>
      </c>
      <c r="L354" t="s">
        <v>74</v>
      </c>
      <c r="M354">
        <v>1</v>
      </c>
      <c r="N354"/>
      <c r="O354"/>
      <c r="P354" s="17">
        <f>Table11[[#This Row],[Gain/Loss]]</f>
        <v>5</v>
      </c>
      <c r="Q354" s="17">
        <f>IF(Table11[[#This Row],[Direction]]="L",0.5,IF(Table11[[#This Row],[Direction]]="M",1.5,2.5))</f>
        <v>0.5</v>
      </c>
      <c r="R354" s="17" t="str">
        <f>IF(Table11[[#This Row],[Direction]]="R","Right",IF(Table11[[#This Row],[Direction]]="L","Left","Middle"))</f>
        <v>Left</v>
      </c>
      <c r="S354" s="17">
        <f>IF(Table11[[#This Row],[Pass Zone]]="S",0.5,IF(Table11[[#This Row],[Pass Zone]]="M",1.5,2.5))</f>
        <v>2.5</v>
      </c>
      <c r="T354" s="139"/>
      <c r="U354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354" s="139"/>
      <c r="W354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355" spans="1:23" x14ac:dyDescent="0.25">
      <c r="A355" s="17">
        <v>42</v>
      </c>
      <c r="B355">
        <v>2</v>
      </c>
      <c r="C355">
        <v>2</v>
      </c>
      <c r="D355">
        <v>12</v>
      </c>
      <c r="E355">
        <v>-38</v>
      </c>
      <c r="F355">
        <v>3</v>
      </c>
      <c r="G355" t="s">
        <v>66</v>
      </c>
      <c r="J355" t="s">
        <v>12</v>
      </c>
      <c r="K355" t="s">
        <v>72</v>
      </c>
      <c r="L355" t="s">
        <v>74</v>
      </c>
      <c r="M355">
        <v>1</v>
      </c>
      <c r="N355"/>
      <c r="O355"/>
      <c r="P355" s="17">
        <f>Table11[[#This Row],[Gain/Loss]]</f>
        <v>3</v>
      </c>
      <c r="Q355" s="17">
        <f>IF(Table11[[#This Row],[Direction]]="L",0.5,IF(Table11[[#This Row],[Direction]]="M",1.5,2.5))</f>
        <v>0.5</v>
      </c>
      <c r="R355" s="17" t="str">
        <f>IF(Table11[[#This Row],[Direction]]="R","Right",IF(Table11[[#This Row],[Direction]]="L","Left","Middle"))</f>
        <v>Left</v>
      </c>
      <c r="S355" s="17">
        <f>IF(Table11[[#This Row],[Pass Zone]]="S",0.5,IF(Table11[[#This Row],[Pass Zone]]="M",1.5,2.5))</f>
        <v>2.5</v>
      </c>
      <c r="T355" s="139"/>
      <c r="U355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355" s="139"/>
      <c r="W355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356" spans="1:23" x14ac:dyDescent="0.25">
      <c r="A356" s="17">
        <v>43</v>
      </c>
      <c r="B356">
        <v>3</v>
      </c>
      <c r="C356">
        <v>3</v>
      </c>
      <c r="D356">
        <v>9</v>
      </c>
      <c r="E356">
        <v>-41</v>
      </c>
      <c r="F356">
        <v>0</v>
      </c>
      <c r="G356" t="s">
        <v>66</v>
      </c>
      <c r="J356" t="s">
        <v>13</v>
      </c>
      <c r="K356" t="s">
        <v>72</v>
      </c>
      <c r="L356"/>
      <c r="M356">
        <v>1</v>
      </c>
      <c r="N356">
        <v>0</v>
      </c>
      <c r="O356"/>
      <c r="P356" s="17">
        <f>Table11[[#This Row],[Gain/Loss]]</f>
        <v>0</v>
      </c>
      <c r="Q356" s="17">
        <f>IF(Table11[[#This Row],[Direction]]="L",0.5,IF(Table11[[#This Row],[Direction]]="M",1.5,2.5))</f>
        <v>0.5</v>
      </c>
      <c r="R356" s="17" t="str">
        <f>IF(Table11[[#This Row],[Direction]]="R","Right",IF(Table11[[#This Row],[Direction]]="L","Left","Middle"))</f>
        <v>Left</v>
      </c>
      <c r="S356" s="17">
        <f>IF(Table11[[#This Row],[Pass Zone]]="S",0.5,IF(Table11[[#This Row],[Pass Zone]]="M",1.5,2.5))</f>
        <v>2.5</v>
      </c>
      <c r="T356" s="139"/>
      <c r="U356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356" s="139"/>
      <c r="W356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357" spans="1:23" x14ac:dyDescent="0.25">
      <c r="A357" s="17">
        <v>61</v>
      </c>
      <c r="B357">
        <v>1</v>
      </c>
      <c r="C357">
        <v>1</v>
      </c>
      <c r="D357">
        <v>5</v>
      </c>
      <c r="E357">
        <v>-25</v>
      </c>
      <c r="F357">
        <v>0</v>
      </c>
      <c r="G357" t="s">
        <v>70</v>
      </c>
      <c r="J357" t="s">
        <v>13</v>
      </c>
      <c r="K357" t="s">
        <v>66</v>
      </c>
      <c r="L357"/>
      <c r="M357">
        <v>1</v>
      </c>
      <c r="N357">
        <v>0</v>
      </c>
      <c r="O357"/>
      <c r="P357" s="17">
        <f>Table11[[#This Row],[Gain/Loss]]</f>
        <v>0</v>
      </c>
      <c r="Q357" s="17">
        <f>IF(Table11[[#This Row],[Direction]]="L",0.5,IF(Table11[[#This Row],[Direction]]="M",1.5,2.5))</f>
        <v>2.5</v>
      </c>
      <c r="R357" s="17" t="str">
        <f>IF(Table11[[#This Row],[Direction]]="R","Right",IF(Table11[[#This Row],[Direction]]="L","Left","Middle"))</f>
        <v>Right</v>
      </c>
      <c r="S357" s="17">
        <f>IF(Table11[[#This Row],[Pass Zone]]="S",0.5,IF(Table11[[#This Row],[Pass Zone]]="M",1.5,2.5))</f>
        <v>2.5</v>
      </c>
      <c r="T357" s="139"/>
      <c r="U357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357" s="139"/>
      <c r="W357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358" spans="1:23" x14ac:dyDescent="0.25">
      <c r="A358" s="17">
        <v>62</v>
      </c>
      <c r="B358">
        <v>2</v>
      </c>
      <c r="C358">
        <v>2</v>
      </c>
      <c r="D358">
        <v>5</v>
      </c>
      <c r="E358">
        <v>-25</v>
      </c>
      <c r="F358">
        <v>0</v>
      </c>
      <c r="G358" t="s">
        <v>70</v>
      </c>
      <c r="J358" t="s">
        <v>13</v>
      </c>
      <c r="K358" t="s">
        <v>66</v>
      </c>
      <c r="L358"/>
      <c r="M358">
        <v>1</v>
      </c>
      <c r="N358">
        <v>0</v>
      </c>
      <c r="O358"/>
      <c r="P358" s="17">
        <f>Table11[[#This Row],[Gain/Loss]]</f>
        <v>0</v>
      </c>
      <c r="Q358" s="17">
        <f>IF(Table11[[#This Row],[Direction]]="L",0.5,IF(Table11[[#This Row],[Direction]]="M",1.5,2.5))</f>
        <v>2.5</v>
      </c>
      <c r="R358" s="17" t="str">
        <f>IF(Table11[[#This Row],[Direction]]="R","Right",IF(Table11[[#This Row],[Direction]]="L","Left","Middle"))</f>
        <v>Right</v>
      </c>
      <c r="S358" s="17">
        <f>IF(Table11[[#This Row],[Pass Zone]]="S",0.5,IF(Table11[[#This Row],[Pass Zone]]="M",1.5,2.5))</f>
        <v>2.5</v>
      </c>
      <c r="T358" s="139"/>
      <c r="U358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358" s="139"/>
      <c r="W358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359" spans="1:23" x14ac:dyDescent="0.25">
      <c r="A359" s="17">
        <v>69</v>
      </c>
      <c r="B359">
        <v>1</v>
      </c>
      <c r="C359">
        <v>1</v>
      </c>
      <c r="D359">
        <v>10</v>
      </c>
      <c r="E359">
        <v>-16</v>
      </c>
      <c r="F359">
        <v>0</v>
      </c>
      <c r="G359" t="s">
        <v>66</v>
      </c>
      <c r="J359" t="s">
        <v>13</v>
      </c>
      <c r="K359" t="s">
        <v>72</v>
      </c>
      <c r="L359"/>
      <c r="M359">
        <v>1</v>
      </c>
      <c r="N359">
        <v>0</v>
      </c>
      <c r="O359"/>
      <c r="P359" s="17">
        <f>Table11[[#This Row],[Gain/Loss]]</f>
        <v>0</v>
      </c>
      <c r="Q359" s="17">
        <f>IF(Table11[[#This Row],[Direction]]="L",0.5,IF(Table11[[#This Row],[Direction]]="M",1.5,2.5))</f>
        <v>0.5</v>
      </c>
      <c r="R359" s="17" t="str">
        <f>IF(Table11[[#This Row],[Direction]]="R","Right",IF(Table11[[#This Row],[Direction]]="L","Left","Middle"))</f>
        <v>Left</v>
      </c>
      <c r="S359" s="17">
        <f>IF(Table11[[#This Row],[Pass Zone]]="S",0.5,IF(Table11[[#This Row],[Pass Zone]]="M",1.5,2.5))</f>
        <v>2.5</v>
      </c>
      <c r="T359" s="139"/>
      <c r="U359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359" s="139"/>
      <c r="W359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0-20</v>
      </c>
    </row>
    <row r="360" spans="1:23" x14ac:dyDescent="0.25">
      <c r="A360" s="17">
        <v>70</v>
      </c>
      <c r="B360">
        <v>2</v>
      </c>
      <c r="C360">
        <v>2</v>
      </c>
      <c r="D360">
        <v>10</v>
      </c>
      <c r="E360">
        <v>-16</v>
      </c>
      <c r="F360">
        <v>3</v>
      </c>
      <c r="G360" t="s">
        <v>66</v>
      </c>
      <c r="J360" t="s">
        <v>12</v>
      </c>
      <c r="K360" t="s">
        <v>72</v>
      </c>
      <c r="L360" t="s">
        <v>74</v>
      </c>
      <c r="M360">
        <v>1</v>
      </c>
      <c r="N360"/>
      <c r="O360"/>
      <c r="P360" s="17">
        <f>Table11[[#This Row],[Gain/Loss]]</f>
        <v>3</v>
      </c>
      <c r="Q360" s="17">
        <f>IF(Table11[[#This Row],[Direction]]="L",0.5,IF(Table11[[#This Row],[Direction]]="M",1.5,2.5))</f>
        <v>0.5</v>
      </c>
      <c r="R360" s="17" t="str">
        <f>IF(Table11[[#This Row],[Direction]]="R","Right",IF(Table11[[#This Row],[Direction]]="L","Left","Middle"))</f>
        <v>Left</v>
      </c>
      <c r="S360" s="17">
        <f>IF(Table11[[#This Row],[Pass Zone]]="S",0.5,IF(Table11[[#This Row],[Pass Zone]]="M",1.5,2.5))</f>
        <v>2.5</v>
      </c>
      <c r="T360" s="139"/>
      <c r="U360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360" s="139"/>
      <c r="W360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0-20</v>
      </c>
    </row>
    <row r="361" spans="1:23" x14ac:dyDescent="0.25">
      <c r="A361" s="17">
        <v>72</v>
      </c>
      <c r="B361">
        <v>3</v>
      </c>
      <c r="C361">
        <v>3</v>
      </c>
      <c r="D361">
        <v>2</v>
      </c>
      <c r="E361">
        <v>-24</v>
      </c>
      <c r="F361">
        <v>9</v>
      </c>
      <c r="G361" t="s">
        <v>66</v>
      </c>
      <c r="J361" t="s">
        <v>13</v>
      </c>
      <c r="K361" t="s">
        <v>66</v>
      </c>
      <c r="L361"/>
      <c r="M361">
        <v>1</v>
      </c>
      <c r="N361">
        <v>1</v>
      </c>
      <c r="O361" t="s">
        <v>70</v>
      </c>
      <c r="P361" s="17">
        <f>Table11[[#This Row],[Gain/Loss]]</f>
        <v>9</v>
      </c>
      <c r="Q361" s="17">
        <f>IF(Table11[[#This Row],[Direction]]="L",0.5,IF(Table11[[#This Row],[Direction]]="M",1.5,2.5))</f>
        <v>2.5</v>
      </c>
      <c r="R361" s="17" t="str">
        <f>IF(Table11[[#This Row],[Direction]]="R","Right",IF(Table11[[#This Row],[Direction]]="L","Left","Middle"))</f>
        <v>Right</v>
      </c>
      <c r="S361" s="17">
        <f>IF(Table11[[#This Row],[Pass Zone]]="S",0.5,IF(Table11[[#This Row],[Pass Zone]]="M",1.5,2.5))</f>
        <v>1.5</v>
      </c>
      <c r="T361" s="139"/>
      <c r="U361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361" s="139"/>
      <c r="W361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362" spans="1:23" x14ac:dyDescent="0.25">
      <c r="A362" s="17">
        <v>73</v>
      </c>
      <c r="B362">
        <v>1</v>
      </c>
      <c r="C362">
        <v>1</v>
      </c>
      <c r="D362">
        <v>10</v>
      </c>
      <c r="E362">
        <v>-33</v>
      </c>
      <c r="F362">
        <v>0</v>
      </c>
      <c r="G362" t="s">
        <v>66</v>
      </c>
      <c r="J362" t="s">
        <v>13</v>
      </c>
      <c r="K362" t="s">
        <v>66</v>
      </c>
      <c r="L362"/>
      <c r="M362">
        <v>1</v>
      </c>
      <c r="N362">
        <v>0</v>
      </c>
      <c r="O362"/>
      <c r="P362" s="17">
        <f>Table11[[#This Row],[Gain/Loss]]</f>
        <v>0</v>
      </c>
      <c r="Q362" s="17">
        <f>IF(Table11[[#This Row],[Direction]]="L",0.5,IF(Table11[[#This Row],[Direction]]="M",1.5,2.5))</f>
        <v>2.5</v>
      </c>
      <c r="R362" s="17" t="str">
        <f>IF(Table11[[#This Row],[Direction]]="R","Right",IF(Table11[[#This Row],[Direction]]="L","Left","Middle"))</f>
        <v>Right</v>
      </c>
      <c r="S362" s="17">
        <f>IF(Table11[[#This Row],[Pass Zone]]="S",0.5,IF(Table11[[#This Row],[Pass Zone]]="M",1.5,2.5))</f>
        <v>2.5</v>
      </c>
      <c r="T362" s="139"/>
      <c r="U362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362" s="139"/>
      <c r="W362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363" spans="1:23" x14ac:dyDescent="0.25">
      <c r="A363" s="17">
        <v>74</v>
      </c>
      <c r="B363">
        <v>2</v>
      </c>
      <c r="C363">
        <v>2</v>
      </c>
      <c r="D363">
        <v>10</v>
      </c>
      <c r="E363">
        <v>-33</v>
      </c>
      <c r="F363">
        <v>2</v>
      </c>
      <c r="G363" t="s">
        <v>66</v>
      </c>
      <c r="J363" t="s">
        <v>12</v>
      </c>
      <c r="K363" t="s">
        <v>72</v>
      </c>
      <c r="L363" t="s">
        <v>74</v>
      </c>
      <c r="M363">
        <v>1</v>
      </c>
      <c r="N363"/>
      <c r="O363"/>
      <c r="P363" s="17">
        <f>Table11[[#This Row],[Gain/Loss]]</f>
        <v>2</v>
      </c>
      <c r="Q363" s="17">
        <f>IF(Table11[[#This Row],[Direction]]="L",0.5,IF(Table11[[#This Row],[Direction]]="M",1.5,2.5))</f>
        <v>0.5</v>
      </c>
      <c r="R363" s="17" t="str">
        <f>IF(Table11[[#This Row],[Direction]]="R","Right",IF(Table11[[#This Row],[Direction]]="L","Left","Middle"))</f>
        <v>Left</v>
      </c>
      <c r="S363" s="17">
        <f>IF(Table11[[#This Row],[Pass Zone]]="S",0.5,IF(Table11[[#This Row],[Pass Zone]]="M",1.5,2.5))</f>
        <v>2.5</v>
      </c>
      <c r="T363" s="139"/>
      <c r="U363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363" s="139"/>
      <c r="W363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364" spans="1:23" x14ac:dyDescent="0.25">
      <c r="A364" s="17">
        <v>75</v>
      </c>
      <c r="B364">
        <v>3</v>
      </c>
      <c r="C364">
        <v>3</v>
      </c>
      <c r="D364">
        <v>8</v>
      </c>
      <c r="E364">
        <v>-35</v>
      </c>
      <c r="F364">
        <v>0</v>
      </c>
      <c r="G364" t="s">
        <v>72</v>
      </c>
      <c r="J364" t="s">
        <v>12</v>
      </c>
      <c r="K364" t="s">
        <v>66</v>
      </c>
      <c r="L364" t="s">
        <v>74</v>
      </c>
      <c r="M364">
        <v>1</v>
      </c>
      <c r="N364"/>
      <c r="O364"/>
      <c r="P364" s="17">
        <f>Table11[[#This Row],[Gain/Loss]]</f>
        <v>0</v>
      </c>
      <c r="Q364" s="17">
        <f>IF(Table11[[#This Row],[Direction]]="L",0.5,IF(Table11[[#This Row],[Direction]]="M",1.5,2.5))</f>
        <v>2.5</v>
      </c>
      <c r="R364" s="17" t="str">
        <f>IF(Table11[[#This Row],[Direction]]="R","Right",IF(Table11[[#This Row],[Direction]]="L","Left","Middle"))</f>
        <v>Right</v>
      </c>
      <c r="S364" s="17">
        <f>IF(Table11[[#This Row],[Pass Zone]]="S",0.5,IF(Table11[[#This Row],[Pass Zone]]="M",1.5,2.5))</f>
        <v>2.5</v>
      </c>
      <c r="T364" s="139"/>
      <c r="U364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364" s="139"/>
      <c r="W364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365" spans="1:23" x14ac:dyDescent="0.25">
      <c r="A365" s="17">
        <v>100</v>
      </c>
      <c r="B365">
        <v>1</v>
      </c>
      <c r="C365">
        <v>1</v>
      </c>
      <c r="D365">
        <v>10</v>
      </c>
      <c r="E365">
        <v>-35</v>
      </c>
      <c r="F365">
        <v>3</v>
      </c>
      <c r="G365" t="s">
        <v>72</v>
      </c>
      <c r="J365" t="s">
        <v>12</v>
      </c>
      <c r="K365" t="s">
        <v>66</v>
      </c>
      <c r="L365" t="s">
        <v>74</v>
      </c>
      <c r="M365">
        <v>1</v>
      </c>
      <c r="N365"/>
      <c r="O365"/>
      <c r="P365" s="17">
        <f>Table11[[#This Row],[Gain/Loss]]</f>
        <v>3</v>
      </c>
      <c r="Q365" s="17">
        <f>IF(Table11[[#This Row],[Direction]]="L",0.5,IF(Table11[[#This Row],[Direction]]="M",1.5,2.5))</f>
        <v>2.5</v>
      </c>
      <c r="R365" s="17" t="str">
        <f>IF(Table11[[#This Row],[Direction]]="R","Right",IF(Table11[[#This Row],[Direction]]="L","Left","Middle"))</f>
        <v>Right</v>
      </c>
      <c r="S365" s="17">
        <f>IF(Table11[[#This Row],[Pass Zone]]="S",0.5,IF(Table11[[#This Row],[Pass Zone]]="M",1.5,2.5))</f>
        <v>2.5</v>
      </c>
      <c r="T365" s="139"/>
      <c r="U365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365" s="139"/>
      <c r="W365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366" spans="1:23" x14ac:dyDescent="0.25">
      <c r="A366" s="17">
        <v>101</v>
      </c>
      <c r="B366">
        <v>2</v>
      </c>
      <c r="C366">
        <v>2</v>
      </c>
      <c r="D366">
        <v>7</v>
      </c>
      <c r="E366">
        <v>-38</v>
      </c>
      <c r="F366">
        <v>0</v>
      </c>
      <c r="G366" t="s">
        <v>66</v>
      </c>
      <c r="J366" t="s">
        <v>13</v>
      </c>
      <c r="K366" t="s">
        <v>72</v>
      </c>
      <c r="L366"/>
      <c r="M366">
        <v>1</v>
      </c>
      <c r="N366">
        <v>0</v>
      </c>
      <c r="O366"/>
      <c r="P366" s="17">
        <f>Table11[[#This Row],[Gain/Loss]]</f>
        <v>0</v>
      </c>
      <c r="Q366" s="17">
        <f>IF(Table11[[#This Row],[Direction]]="L",0.5,IF(Table11[[#This Row],[Direction]]="M",1.5,2.5))</f>
        <v>0.5</v>
      </c>
      <c r="R366" s="17" t="str">
        <f>IF(Table11[[#This Row],[Direction]]="R","Right",IF(Table11[[#This Row],[Direction]]="L","Left","Middle"))</f>
        <v>Left</v>
      </c>
      <c r="S366" s="17">
        <f>IF(Table11[[#This Row],[Pass Zone]]="S",0.5,IF(Table11[[#This Row],[Pass Zone]]="M",1.5,2.5))</f>
        <v>2.5</v>
      </c>
      <c r="T366" s="139"/>
      <c r="U366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366" s="139"/>
      <c r="W366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367" spans="1:23" x14ac:dyDescent="0.25">
      <c r="A367" s="17">
        <v>102</v>
      </c>
      <c r="B367">
        <v>3</v>
      </c>
      <c r="C367">
        <v>3</v>
      </c>
      <c r="D367">
        <v>7</v>
      </c>
      <c r="E367">
        <v>-38</v>
      </c>
      <c r="F367">
        <v>10</v>
      </c>
      <c r="G367" t="s">
        <v>66</v>
      </c>
      <c r="J367" t="s">
        <v>12</v>
      </c>
      <c r="K367" t="s">
        <v>66</v>
      </c>
      <c r="L367" t="s">
        <v>75</v>
      </c>
      <c r="M367">
        <v>1</v>
      </c>
      <c r="N367"/>
      <c r="O367"/>
      <c r="P367" s="17">
        <f>Table11[[#This Row],[Gain/Loss]]</f>
        <v>10</v>
      </c>
      <c r="Q367" s="17">
        <f>IF(Table11[[#This Row],[Direction]]="L",0.5,IF(Table11[[#This Row],[Direction]]="M",1.5,2.5))</f>
        <v>2.5</v>
      </c>
      <c r="R367" s="17" t="str">
        <f>IF(Table11[[#This Row],[Direction]]="R","Right",IF(Table11[[#This Row],[Direction]]="L","Left","Middle"))</f>
        <v>Right</v>
      </c>
      <c r="S367" s="17">
        <f>IF(Table11[[#This Row],[Pass Zone]]="S",0.5,IF(Table11[[#This Row],[Pass Zone]]="M",1.5,2.5))</f>
        <v>2.5</v>
      </c>
      <c r="T367" s="139"/>
      <c r="U367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367" s="139"/>
      <c r="W367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368" spans="1:23" x14ac:dyDescent="0.25">
      <c r="A368" s="17">
        <v>103</v>
      </c>
      <c r="B368">
        <v>1</v>
      </c>
      <c r="C368">
        <v>1</v>
      </c>
      <c r="D368">
        <v>10</v>
      </c>
      <c r="E368">
        <v>-48</v>
      </c>
      <c r="F368">
        <v>0</v>
      </c>
      <c r="G368" t="s">
        <v>66</v>
      </c>
      <c r="J368" t="s">
        <v>13</v>
      </c>
      <c r="K368" t="s">
        <v>72</v>
      </c>
      <c r="L368"/>
      <c r="M368">
        <v>1</v>
      </c>
      <c r="N368">
        <v>0</v>
      </c>
      <c r="O368"/>
      <c r="P368" s="17">
        <f>Table11[[#This Row],[Gain/Loss]]</f>
        <v>0</v>
      </c>
      <c r="Q368" s="17">
        <f>IF(Table11[[#This Row],[Direction]]="L",0.5,IF(Table11[[#This Row],[Direction]]="M",1.5,2.5))</f>
        <v>0.5</v>
      </c>
      <c r="R368" s="17" t="str">
        <f>IF(Table11[[#This Row],[Direction]]="R","Right",IF(Table11[[#This Row],[Direction]]="L","Left","Middle"))</f>
        <v>Left</v>
      </c>
      <c r="S368" s="17">
        <f>IF(Table11[[#This Row],[Pass Zone]]="S",0.5,IF(Table11[[#This Row],[Pass Zone]]="M",1.5,2.5))</f>
        <v>2.5</v>
      </c>
      <c r="T368" s="139"/>
      <c r="U368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368" s="139"/>
      <c r="W368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369" spans="1:23" x14ac:dyDescent="0.25">
      <c r="A369" s="17">
        <v>104</v>
      </c>
      <c r="B369">
        <v>2</v>
      </c>
      <c r="C369">
        <v>2</v>
      </c>
      <c r="D369">
        <v>10</v>
      </c>
      <c r="E369">
        <v>-48</v>
      </c>
      <c r="F369">
        <v>4</v>
      </c>
      <c r="G369" t="s">
        <v>66</v>
      </c>
      <c r="J369" t="s">
        <v>12</v>
      </c>
      <c r="K369" t="s">
        <v>66</v>
      </c>
      <c r="L369" t="s">
        <v>74</v>
      </c>
      <c r="M369">
        <v>1</v>
      </c>
      <c r="N369"/>
      <c r="O369"/>
      <c r="P369" s="17">
        <f>Table11[[#This Row],[Gain/Loss]]</f>
        <v>4</v>
      </c>
      <c r="Q369" s="17">
        <f>IF(Table11[[#This Row],[Direction]]="L",0.5,IF(Table11[[#This Row],[Direction]]="M",1.5,2.5))</f>
        <v>2.5</v>
      </c>
      <c r="R369" s="17" t="str">
        <f>IF(Table11[[#This Row],[Direction]]="R","Right",IF(Table11[[#This Row],[Direction]]="L","Left","Middle"))</f>
        <v>Right</v>
      </c>
      <c r="S369" s="17">
        <f>IF(Table11[[#This Row],[Pass Zone]]="S",0.5,IF(Table11[[#This Row],[Pass Zone]]="M",1.5,2.5))</f>
        <v>2.5</v>
      </c>
      <c r="T369" s="139"/>
      <c r="U369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369" s="139"/>
      <c r="W369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370" spans="1:23" x14ac:dyDescent="0.25">
      <c r="A370" s="17">
        <v>105</v>
      </c>
      <c r="B370">
        <v>3</v>
      </c>
      <c r="C370">
        <v>3</v>
      </c>
      <c r="D370">
        <v>6</v>
      </c>
      <c r="E370">
        <v>48</v>
      </c>
      <c r="F370">
        <v>8</v>
      </c>
      <c r="G370" t="s">
        <v>66</v>
      </c>
      <c r="J370" t="s">
        <v>13</v>
      </c>
      <c r="K370" t="s">
        <v>72</v>
      </c>
      <c r="L370"/>
      <c r="M370">
        <v>1</v>
      </c>
      <c r="N370">
        <v>1</v>
      </c>
      <c r="O370" t="s">
        <v>70</v>
      </c>
      <c r="P370" s="17">
        <f>Table11[[#This Row],[Gain/Loss]]</f>
        <v>8</v>
      </c>
      <c r="Q370" s="17">
        <f>IF(Table11[[#This Row],[Direction]]="L",0.5,IF(Table11[[#This Row],[Direction]]="M",1.5,2.5))</f>
        <v>0.5</v>
      </c>
      <c r="R370" s="17" t="str">
        <f>IF(Table11[[#This Row],[Direction]]="R","Right",IF(Table11[[#This Row],[Direction]]="L","Left","Middle"))</f>
        <v>Left</v>
      </c>
      <c r="S370" s="17">
        <f>IF(Table11[[#This Row],[Pass Zone]]="S",0.5,IF(Table11[[#This Row],[Pass Zone]]="M",1.5,2.5))</f>
        <v>1.5</v>
      </c>
      <c r="T370" s="139"/>
      <c r="U370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370" s="139"/>
      <c r="W370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</row>
    <row r="371" spans="1:23" x14ac:dyDescent="0.25">
      <c r="A371" s="17">
        <v>107</v>
      </c>
      <c r="B371">
        <v>2</v>
      </c>
      <c r="C371">
        <v>2</v>
      </c>
      <c r="D371">
        <v>10</v>
      </c>
      <c r="E371">
        <v>40</v>
      </c>
      <c r="F371">
        <v>0</v>
      </c>
      <c r="G371" t="s">
        <v>66</v>
      </c>
      <c r="J371" t="s">
        <v>13</v>
      </c>
      <c r="K371" t="s">
        <v>66</v>
      </c>
      <c r="L371"/>
      <c r="M371">
        <v>1</v>
      </c>
      <c r="N371">
        <v>0</v>
      </c>
      <c r="O371"/>
      <c r="P371" s="17">
        <f>Table11[[#This Row],[Gain/Loss]]</f>
        <v>0</v>
      </c>
      <c r="Q371" s="17">
        <f>IF(Table11[[#This Row],[Direction]]="L",0.5,IF(Table11[[#This Row],[Direction]]="M",1.5,2.5))</f>
        <v>2.5</v>
      </c>
      <c r="R371" s="17" t="str">
        <f>IF(Table11[[#This Row],[Direction]]="R","Right",IF(Table11[[#This Row],[Direction]]="L","Left","Middle"))</f>
        <v>Right</v>
      </c>
      <c r="S371" s="17">
        <f>IF(Table11[[#This Row],[Pass Zone]]="S",0.5,IF(Table11[[#This Row],[Pass Zone]]="M",1.5,2.5))</f>
        <v>2.5</v>
      </c>
      <c r="T371" s="139"/>
      <c r="U371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371" s="139"/>
      <c r="W371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</row>
    <row r="372" spans="1:23" x14ac:dyDescent="0.25">
      <c r="A372" s="17">
        <v>108</v>
      </c>
      <c r="B372">
        <v>3</v>
      </c>
      <c r="C372">
        <v>3</v>
      </c>
      <c r="D372">
        <v>10</v>
      </c>
      <c r="E372">
        <v>40</v>
      </c>
      <c r="F372">
        <v>-4</v>
      </c>
      <c r="G372" t="s">
        <v>66</v>
      </c>
      <c r="J372" t="s">
        <v>13</v>
      </c>
      <c r="K372" t="s">
        <v>72</v>
      </c>
      <c r="L372"/>
      <c r="M372">
        <v>1</v>
      </c>
      <c r="N372">
        <v>1</v>
      </c>
      <c r="O372" t="s">
        <v>67</v>
      </c>
      <c r="P372" s="17">
        <f>Table11[[#This Row],[Gain/Loss]]</f>
        <v>-4</v>
      </c>
      <c r="Q372" s="17">
        <f>IF(Table11[[#This Row],[Direction]]="L",0.5,IF(Table11[[#This Row],[Direction]]="M",1.5,2.5))</f>
        <v>0.5</v>
      </c>
      <c r="R372" s="17" t="str">
        <f>IF(Table11[[#This Row],[Direction]]="R","Right",IF(Table11[[#This Row],[Direction]]="L","Left","Middle"))</f>
        <v>Left</v>
      </c>
      <c r="S372" s="17">
        <f>IF(Table11[[#This Row],[Pass Zone]]="S",0.5,IF(Table11[[#This Row],[Pass Zone]]="M",1.5,2.5))</f>
        <v>0.5</v>
      </c>
      <c r="T372" s="139"/>
      <c r="U372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372" s="139"/>
      <c r="W372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</row>
    <row r="373" spans="1:23" x14ac:dyDescent="0.25">
      <c r="A373" s="17">
        <v>115</v>
      </c>
      <c r="B373">
        <v>1</v>
      </c>
      <c r="C373">
        <v>1</v>
      </c>
      <c r="D373">
        <v>10</v>
      </c>
      <c r="E373">
        <v>-10</v>
      </c>
      <c r="F373">
        <v>0</v>
      </c>
      <c r="G373" t="s">
        <v>66</v>
      </c>
      <c r="J373" t="s">
        <v>13</v>
      </c>
      <c r="K373" t="s">
        <v>72</v>
      </c>
      <c r="L373"/>
      <c r="M373">
        <v>1</v>
      </c>
      <c r="N373">
        <v>1</v>
      </c>
      <c r="O373" t="s">
        <v>67</v>
      </c>
      <c r="P373" s="17">
        <f>Table11[[#This Row],[Gain/Loss]]</f>
        <v>0</v>
      </c>
      <c r="Q373" s="17">
        <f>IF(Table11[[#This Row],[Direction]]="L",0.5,IF(Table11[[#This Row],[Direction]]="M",1.5,2.5))</f>
        <v>0.5</v>
      </c>
      <c r="R373" s="17" t="str">
        <f>IF(Table11[[#This Row],[Direction]]="R","Right",IF(Table11[[#This Row],[Direction]]="L","Left","Middle"))</f>
        <v>Left</v>
      </c>
      <c r="S373" s="17">
        <f>IF(Table11[[#This Row],[Pass Zone]]="S",0.5,IF(Table11[[#This Row],[Pass Zone]]="M",1.5,2.5))</f>
        <v>0.5</v>
      </c>
      <c r="T373" s="139"/>
      <c r="U373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373" s="139"/>
      <c r="W373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0-20</v>
      </c>
    </row>
    <row r="374" spans="1:23" x14ac:dyDescent="0.25">
      <c r="A374" s="17">
        <v>117</v>
      </c>
      <c r="B374">
        <v>2</v>
      </c>
      <c r="C374">
        <v>2</v>
      </c>
      <c r="D374">
        <v>15</v>
      </c>
      <c r="E374">
        <v>-5</v>
      </c>
      <c r="F374">
        <v>2</v>
      </c>
      <c r="G374" t="s">
        <v>66</v>
      </c>
      <c r="J374" t="s">
        <v>13</v>
      </c>
      <c r="K374" t="s">
        <v>72</v>
      </c>
      <c r="L374"/>
      <c r="M374">
        <v>1</v>
      </c>
      <c r="N374">
        <v>1</v>
      </c>
      <c r="O374" t="s">
        <v>67</v>
      </c>
      <c r="P374" s="17">
        <f>Table11[[#This Row],[Gain/Loss]]</f>
        <v>2</v>
      </c>
      <c r="Q374" s="17">
        <f>IF(Table11[[#This Row],[Direction]]="L",0.5,IF(Table11[[#This Row],[Direction]]="M",1.5,2.5))</f>
        <v>0.5</v>
      </c>
      <c r="R374" s="17" t="str">
        <f>IF(Table11[[#This Row],[Direction]]="R","Right",IF(Table11[[#This Row],[Direction]]="L","Left","Middle"))</f>
        <v>Left</v>
      </c>
      <c r="S374" s="17">
        <f>IF(Table11[[#This Row],[Pass Zone]]="S",0.5,IF(Table11[[#This Row],[Pass Zone]]="M",1.5,2.5))</f>
        <v>0.5</v>
      </c>
      <c r="T374" s="139"/>
      <c r="U374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374" s="139"/>
      <c r="W374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0-20</v>
      </c>
    </row>
    <row r="375" spans="1:23" x14ac:dyDescent="0.25">
      <c r="A375" s="17">
        <v>118</v>
      </c>
      <c r="B375">
        <v>3</v>
      </c>
      <c r="C375">
        <v>3</v>
      </c>
      <c r="D375">
        <v>13</v>
      </c>
      <c r="E375">
        <v>-7</v>
      </c>
      <c r="F375">
        <v>-6</v>
      </c>
      <c r="G375" t="s">
        <v>72</v>
      </c>
      <c r="J375" t="s">
        <v>13</v>
      </c>
      <c r="K375" t="s">
        <v>70</v>
      </c>
      <c r="L375"/>
      <c r="M375">
        <v>1</v>
      </c>
      <c r="N375">
        <v>0</v>
      </c>
      <c r="O375" t="s">
        <v>67</v>
      </c>
      <c r="P375" s="17">
        <f>Table11[[#This Row],[Gain/Loss]]</f>
        <v>-6</v>
      </c>
      <c r="Q375" s="17">
        <f>IF(Table11[[#This Row],[Direction]]="L",0.5,IF(Table11[[#This Row],[Direction]]="M",1.5,2.5))</f>
        <v>1.5</v>
      </c>
      <c r="R375" s="17" t="str">
        <f>IF(Table11[[#This Row],[Direction]]="R","Right",IF(Table11[[#This Row],[Direction]]="L","Left","Middle"))</f>
        <v>Middle</v>
      </c>
      <c r="S375" s="17">
        <f>IF(Table11[[#This Row],[Pass Zone]]="S",0.5,IF(Table11[[#This Row],[Pass Zone]]="M",1.5,2.5))</f>
        <v>0.5</v>
      </c>
      <c r="T375" s="139"/>
      <c r="U375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375" s="139"/>
      <c r="W375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0-20</v>
      </c>
    </row>
    <row r="376" spans="1:23" x14ac:dyDescent="0.25">
      <c r="A376" s="17">
        <v>126</v>
      </c>
      <c r="B376">
        <v>1</v>
      </c>
      <c r="C376">
        <v>1</v>
      </c>
      <c r="D376">
        <v>10</v>
      </c>
      <c r="E376">
        <v>-35</v>
      </c>
      <c r="F376">
        <v>0</v>
      </c>
      <c r="G376" t="s">
        <v>70</v>
      </c>
      <c r="J376" t="s">
        <v>12</v>
      </c>
      <c r="K376" t="s">
        <v>66</v>
      </c>
      <c r="L376" t="s">
        <v>74</v>
      </c>
      <c r="M376">
        <v>1</v>
      </c>
      <c r="N376"/>
      <c r="O376"/>
      <c r="P376" s="17">
        <f>Table11[[#This Row],[Gain/Loss]]</f>
        <v>0</v>
      </c>
      <c r="Q376" s="17">
        <f>IF(Table11[[#This Row],[Direction]]="L",0.5,IF(Table11[[#This Row],[Direction]]="M",1.5,2.5))</f>
        <v>2.5</v>
      </c>
      <c r="R376" s="17" t="str">
        <f>IF(Table11[[#This Row],[Direction]]="R","Right",IF(Table11[[#This Row],[Direction]]="L","Left","Middle"))</f>
        <v>Right</v>
      </c>
      <c r="S376" s="17">
        <f>IF(Table11[[#This Row],[Pass Zone]]="S",0.5,IF(Table11[[#This Row],[Pass Zone]]="M",1.5,2.5))</f>
        <v>2.5</v>
      </c>
      <c r="T376" s="139"/>
      <c r="U376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376" s="139"/>
      <c r="W376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377" spans="1:23" x14ac:dyDescent="0.25">
      <c r="A377" s="17">
        <v>127</v>
      </c>
      <c r="B377">
        <v>2</v>
      </c>
      <c r="C377">
        <v>2</v>
      </c>
      <c r="D377">
        <v>10</v>
      </c>
      <c r="E377">
        <v>-35</v>
      </c>
      <c r="F377">
        <v>-5</v>
      </c>
      <c r="G377" t="s">
        <v>66</v>
      </c>
      <c r="J377" t="s">
        <v>13</v>
      </c>
      <c r="K377" t="s">
        <v>70</v>
      </c>
      <c r="L377"/>
      <c r="M377">
        <v>1</v>
      </c>
      <c r="N377">
        <v>0</v>
      </c>
      <c r="O377" t="s">
        <v>67</v>
      </c>
      <c r="P377" s="17">
        <f>Table11[[#This Row],[Gain/Loss]]</f>
        <v>-5</v>
      </c>
      <c r="Q377" s="17">
        <f>IF(Table11[[#This Row],[Direction]]="L",0.5,IF(Table11[[#This Row],[Direction]]="M",1.5,2.5))</f>
        <v>1.5</v>
      </c>
      <c r="R377" s="17" t="str">
        <f>IF(Table11[[#This Row],[Direction]]="R","Right",IF(Table11[[#This Row],[Direction]]="L","Left","Middle"))</f>
        <v>Middle</v>
      </c>
      <c r="S377" s="17">
        <f>IF(Table11[[#This Row],[Pass Zone]]="S",0.5,IF(Table11[[#This Row],[Pass Zone]]="M",1.5,2.5))</f>
        <v>0.5</v>
      </c>
      <c r="T377" s="139"/>
      <c r="U377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377" s="139"/>
      <c r="W377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378" spans="1:23" x14ac:dyDescent="0.25">
      <c r="A378" s="17">
        <v>128</v>
      </c>
      <c r="B378">
        <v>3</v>
      </c>
      <c r="C378">
        <v>3</v>
      </c>
      <c r="D378">
        <v>15</v>
      </c>
      <c r="E378">
        <v>-30</v>
      </c>
      <c r="F378">
        <v>0</v>
      </c>
      <c r="G378" t="s">
        <v>70</v>
      </c>
      <c r="J378" t="s">
        <v>13</v>
      </c>
      <c r="K378" t="s">
        <v>66</v>
      </c>
      <c r="L378"/>
      <c r="M378">
        <v>1</v>
      </c>
      <c r="N378">
        <v>0</v>
      </c>
      <c r="O378"/>
      <c r="P378" s="17">
        <f>Table11[[#This Row],[Gain/Loss]]</f>
        <v>0</v>
      </c>
      <c r="Q378" s="17">
        <f>IF(Table11[[#This Row],[Direction]]="L",0.5,IF(Table11[[#This Row],[Direction]]="M",1.5,2.5))</f>
        <v>2.5</v>
      </c>
      <c r="R378" s="17" t="str">
        <f>IF(Table11[[#This Row],[Direction]]="R","Right",IF(Table11[[#This Row],[Direction]]="L","Left","Middle"))</f>
        <v>Right</v>
      </c>
      <c r="S378" s="17">
        <f>IF(Table11[[#This Row],[Pass Zone]]="S",0.5,IF(Table11[[#This Row],[Pass Zone]]="M",1.5,2.5))</f>
        <v>2.5</v>
      </c>
      <c r="T378" s="139"/>
      <c r="U378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378" s="139"/>
      <c r="W378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379" spans="1:23" x14ac:dyDescent="0.25">
      <c r="A379" s="17">
        <v>136</v>
      </c>
      <c r="B379">
        <v>1</v>
      </c>
      <c r="C379">
        <v>1</v>
      </c>
      <c r="D379">
        <v>10</v>
      </c>
      <c r="E379">
        <v>-23</v>
      </c>
      <c r="F379">
        <v>15</v>
      </c>
      <c r="G379" t="s">
        <v>66</v>
      </c>
      <c r="J379" t="s">
        <v>12</v>
      </c>
      <c r="K379" t="s">
        <v>66</v>
      </c>
      <c r="L379" t="s">
        <v>74</v>
      </c>
      <c r="M379">
        <v>1</v>
      </c>
      <c r="N379"/>
      <c r="O379"/>
      <c r="P379" s="17">
        <f>Table11[[#This Row],[Gain/Loss]]</f>
        <v>15</v>
      </c>
      <c r="Q379" s="17">
        <f>IF(Table11[[#This Row],[Direction]]="L",0.5,IF(Table11[[#This Row],[Direction]]="M",1.5,2.5))</f>
        <v>2.5</v>
      </c>
      <c r="R379" s="17" t="str">
        <f>IF(Table11[[#This Row],[Direction]]="R","Right",IF(Table11[[#This Row],[Direction]]="L","Left","Middle"))</f>
        <v>Right</v>
      </c>
      <c r="S379" s="17">
        <f>IF(Table11[[#This Row],[Pass Zone]]="S",0.5,IF(Table11[[#This Row],[Pass Zone]]="M",1.5,2.5))</f>
        <v>2.5</v>
      </c>
      <c r="T379" s="139"/>
      <c r="U379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379" s="139"/>
      <c r="W379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380" spans="1:23" x14ac:dyDescent="0.25">
      <c r="A380" s="17">
        <v>137</v>
      </c>
      <c r="B380">
        <v>1</v>
      </c>
      <c r="C380">
        <v>1</v>
      </c>
      <c r="D380">
        <v>10</v>
      </c>
      <c r="E380">
        <v>-38</v>
      </c>
      <c r="F380">
        <v>6</v>
      </c>
      <c r="G380" t="s">
        <v>66</v>
      </c>
      <c r="J380" t="s">
        <v>12</v>
      </c>
      <c r="K380" t="s">
        <v>66</v>
      </c>
      <c r="L380" t="s">
        <v>74</v>
      </c>
      <c r="M380">
        <v>1</v>
      </c>
      <c r="N380"/>
      <c r="O380"/>
      <c r="P380" s="17">
        <f>Table11[[#This Row],[Gain/Loss]]</f>
        <v>6</v>
      </c>
      <c r="Q380" s="17">
        <f>IF(Table11[[#This Row],[Direction]]="L",0.5,IF(Table11[[#This Row],[Direction]]="M",1.5,2.5))</f>
        <v>2.5</v>
      </c>
      <c r="R380" s="17" t="str">
        <f>IF(Table11[[#This Row],[Direction]]="R","Right",IF(Table11[[#This Row],[Direction]]="L","Left","Middle"))</f>
        <v>Right</v>
      </c>
      <c r="S380" s="17">
        <f>IF(Table11[[#This Row],[Pass Zone]]="S",0.5,IF(Table11[[#This Row],[Pass Zone]]="M",1.5,2.5))</f>
        <v>2.5</v>
      </c>
      <c r="T380" s="139"/>
      <c r="U380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380" s="139"/>
      <c r="W380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381" spans="1:23" x14ac:dyDescent="0.25">
      <c r="A381" s="17">
        <v>138</v>
      </c>
      <c r="B381">
        <v>2</v>
      </c>
      <c r="C381">
        <v>2</v>
      </c>
      <c r="D381">
        <v>4</v>
      </c>
      <c r="E381">
        <v>-44</v>
      </c>
      <c r="F381">
        <v>4</v>
      </c>
      <c r="G381" t="s">
        <v>66</v>
      </c>
      <c r="J381" t="s">
        <v>12</v>
      </c>
      <c r="K381" t="s">
        <v>72</v>
      </c>
      <c r="L381" t="s">
        <v>74</v>
      </c>
      <c r="M381">
        <v>1</v>
      </c>
      <c r="N381"/>
      <c r="O381"/>
      <c r="P381" s="17">
        <f>Table11[[#This Row],[Gain/Loss]]</f>
        <v>4</v>
      </c>
      <c r="Q381" s="17">
        <f>IF(Table11[[#This Row],[Direction]]="L",0.5,IF(Table11[[#This Row],[Direction]]="M",1.5,2.5))</f>
        <v>0.5</v>
      </c>
      <c r="R381" s="17" t="str">
        <f>IF(Table11[[#This Row],[Direction]]="R","Right",IF(Table11[[#This Row],[Direction]]="L","Left","Middle"))</f>
        <v>Left</v>
      </c>
      <c r="S381" s="17">
        <f>IF(Table11[[#This Row],[Pass Zone]]="S",0.5,IF(Table11[[#This Row],[Pass Zone]]="M",1.5,2.5))</f>
        <v>2.5</v>
      </c>
      <c r="T381" s="139"/>
      <c r="U381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381" s="139"/>
      <c r="W381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382" spans="1:23" x14ac:dyDescent="0.25">
      <c r="A382" s="17">
        <v>139</v>
      </c>
      <c r="B382">
        <v>1</v>
      </c>
      <c r="C382">
        <v>1</v>
      </c>
      <c r="D382">
        <v>10</v>
      </c>
      <c r="E382">
        <v>-48</v>
      </c>
      <c r="F382">
        <v>0</v>
      </c>
      <c r="G382" t="s">
        <v>66</v>
      </c>
      <c r="J382" t="s">
        <v>12</v>
      </c>
      <c r="K382" t="s">
        <v>72</v>
      </c>
      <c r="L382" t="s">
        <v>74</v>
      </c>
      <c r="M382">
        <v>1</v>
      </c>
      <c r="N382"/>
      <c r="O382"/>
      <c r="P382" s="17">
        <f>Table11[[#This Row],[Gain/Loss]]</f>
        <v>0</v>
      </c>
      <c r="Q382" s="17">
        <f>IF(Table11[[#This Row],[Direction]]="L",0.5,IF(Table11[[#This Row],[Direction]]="M",1.5,2.5))</f>
        <v>0.5</v>
      </c>
      <c r="R382" s="17" t="str">
        <f>IF(Table11[[#This Row],[Direction]]="R","Right",IF(Table11[[#This Row],[Direction]]="L","Left","Middle"))</f>
        <v>Left</v>
      </c>
      <c r="S382" s="17">
        <f>IF(Table11[[#This Row],[Pass Zone]]="S",0.5,IF(Table11[[#This Row],[Pass Zone]]="M",1.5,2.5))</f>
        <v>2.5</v>
      </c>
      <c r="T382" s="139"/>
      <c r="U382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382" s="139"/>
      <c r="W382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383" spans="1:23" x14ac:dyDescent="0.25">
      <c r="A383" s="17">
        <v>140</v>
      </c>
      <c r="B383">
        <v>2</v>
      </c>
      <c r="C383">
        <v>2</v>
      </c>
      <c r="D383">
        <v>10</v>
      </c>
      <c r="E383">
        <v>-48</v>
      </c>
      <c r="F383">
        <v>0</v>
      </c>
      <c r="G383" t="s">
        <v>66</v>
      </c>
      <c r="J383" t="s">
        <v>13</v>
      </c>
      <c r="K383" t="s">
        <v>72</v>
      </c>
      <c r="L383"/>
      <c r="M383">
        <v>1</v>
      </c>
      <c r="N383">
        <v>1</v>
      </c>
      <c r="O383" t="s">
        <v>67</v>
      </c>
      <c r="P383" s="17">
        <f>Table11[[#This Row],[Gain/Loss]]</f>
        <v>0</v>
      </c>
      <c r="Q383" s="17">
        <f>IF(Table11[[#This Row],[Direction]]="L",0.5,IF(Table11[[#This Row],[Direction]]="M",1.5,2.5))</f>
        <v>0.5</v>
      </c>
      <c r="R383" s="17" t="str">
        <f>IF(Table11[[#This Row],[Direction]]="R","Right",IF(Table11[[#This Row],[Direction]]="L","Left","Middle"))</f>
        <v>Left</v>
      </c>
      <c r="S383" s="17">
        <f>IF(Table11[[#This Row],[Pass Zone]]="S",0.5,IF(Table11[[#This Row],[Pass Zone]]="M",1.5,2.5))</f>
        <v>0.5</v>
      </c>
      <c r="T383" s="139"/>
      <c r="U383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383" s="139"/>
      <c r="W383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384" spans="1:23" x14ac:dyDescent="0.25">
      <c r="A384" s="17">
        <v>141</v>
      </c>
      <c r="B384">
        <v>3</v>
      </c>
      <c r="C384">
        <v>3</v>
      </c>
      <c r="D384">
        <v>10</v>
      </c>
      <c r="E384">
        <v>-48</v>
      </c>
      <c r="F384">
        <v>3</v>
      </c>
      <c r="G384" t="s">
        <v>72</v>
      </c>
      <c r="J384" t="s">
        <v>13</v>
      </c>
      <c r="K384" t="s">
        <v>66</v>
      </c>
      <c r="L384"/>
      <c r="M384">
        <v>1</v>
      </c>
      <c r="N384">
        <v>1</v>
      </c>
      <c r="O384" t="s">
        <v>67</v>
      </c>
      <c r="P384" s="17">
        <f>Table11[[#This Row],[Gain/Loss]]</f>
        <v>3</v>
      </c>
      <c r="Q384" s="17">
        <f>IF(Table11[[#This Row],[Direction]]="L",0.5,IF(Table11[[#This Row],[Direction]]="M",1.5,2.5))</f>
        <v>2.5</v>
      </c>
      <c r="R384" s="17" t="str">
        <f>IF(Table11[[#This Row],[Direction]]="R","Right",IF(Table11[[#This Row],[Direction]]="L","Left","Middle"))</f>
        <v>Right</v>
      </c>
      <c r="S384" s="17">
        <f>IF(Table11[[#This Row],[Pass Zone]]="S",0.5,IF(Table11[[#This Row],[Pass Zone]]="M",1.5,2.5))</f>
        <v>0.5</v>
      </c>
      <c r="T384" s="139"/>
      <c r="U384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384" s="139"/>
      <c r="W384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385" spans="1:23" x14ac:dyDescent="0.25">
      <c r="A385" s="17">
        <v>142</v>
      </c>
      <c r="B385">
        <v>4</v>
      </c>
      <c r="C385">
        <v>4</v>
      </c>
      <c r="D385">
        <v>7</v>
      </c>
      <c r="E385">
        <v>49</v>
      </c>
      <c r="F385">
        <v>0</v>
      </c>
      <c r="G385" t="s">
        <v>66</v>
      </c>
      <c r="J385" t="s">
        <v>13</v>
      </c>
      <c r="K385" t="s">
        <v>72</v>
      </c>
      <c r="L385"/>
      <c r="M385">
        <v>1</v>
      </c>
      <c r="N385">
        <v>1</v>
      </c>
      <c r="O385" t="s">
        <v>67</v>
      </c>
      <c r="P385" s="17">
        <f>Table11[[#This Row],[Gain/Loss]]</f>
        <v>0</v>
      </c>
      <c r="Q385" s="17">
        <f>IF(Table11[[#This Row],[Direction]]="L",0.5,IF(Table11[[#This Row],[Direction]]="M",1.5,2.5))</f>
        <v>0.5</v>
      </c>
      <c r="R385" s="17" t="str">
        <f>IF(Table11[[#This Row],[Direction]]="R","Right",IF(Table11[[#This Row],[Direction]]="L","Left","Middle"))</f>
        <v>Left</v>
      </c>
      <c r="S385" s="17">
        <f>IF(Table11[[#This Row],[Pass Zone]]="S",0.5,IF(Table11[[#This Row],[Pass Zone]]="M",1.5,2.5))</f>
        <v>0.5</v>
      </c>
      <c r="T385" s="139"/>
      <c r="U385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385" s="139"/>
      <c r="W385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50-21</v>
      </c>
    </row>
    <row r="386" spans="1:23" x14ac:dyDescent="0.25">
      <c r="A386" s="17">
        <v>147</v>
      </c>
      <c r="B386">
        <v>1</v>
      </c>
      <c r="C386">
        <v>1</v>
      </c>
      <c r="D386">
        <v>10</v>
      </c>
      <c r="E386">
        <v>-24</v>
      </c>
      <c r="F386">
        <v>0</v>
      </c>
      <c r="G386" t="s">
        <v>70</v>
      </c>
      <c r="J386" t="s">
        <v>13</v>
      </c>
      <c r="K386" t="s">
        <v>72</v>
      </c>
      <c r="L386"/>
      <c r="M386">
        <v>1</v>
      </c>
      <c r="N386">
        <v>0</v>
      </c>
      <c r="O386"/>
      <c r="P386" s="17">
        <f>Table11[[#This Row],[Gain/Loss]]</f>
        <v>0</v>
      </c>
      <c r="Q386" s="17">
        <f>IF(Table11[[#This Row],[Direction]]="L",0.5,IF(Table11[[#This Row],[Direction]]="M",1.5,2.5))</f>
        <v>0.5</v>
      </c>
      <c r="R386" s="17" t="str">
        <f>IF(Table11[[#This Row],[Direction]]="R","Right",IF(Table11[[#This Row],[Direction]]="L","Left","Middle"))</f>
        <v>Left</v>
      </c>
      <c r="S386" s="17">
        <f>IF(Table11[[#This Row],[Pass Zone]]="S",0.5,IF(Table11[[#This Row],[Pass Zone]]="M",1.5,2.5))</f>
        <v>2.5</v>
      </c>
      <c r="T386" s="139"/>
      <c r="U386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386" s="139"/>
      <c r="W386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387" spans="1:23" x14ac:dyDescent="0.25">
      <c r="A387" s="17">
        <v>151</v>
      </c>
      <c r="B387">
        <v>1</v>
      </c>
      <c r="C387">
        <v>1</v>
      </c>
      <c r="D387">
        <v>10</v>
      </c>
      <c r="E387">
        <v>-26</v>
      </c>
      <c r="F387">
        <v>1</v>
      </c>
      <c r="G387" t="s">
        <v>66</v>
      </c>
      <c r="J387" t="s">
        <v>12</v>
      </c>
      <c r="K387" t="s">
        <v>72</v>
      </c>
      <c r="L387" t="s">
        <v>74</v>
      </c>
      <c r="M387">
        <v>1</v>
      </c>
      <c r="N387"/>
      <c r="O387"/>
      <c r="P387" s="17">
        <f>Table11[[#This Row],[Gain/Loss]]</f>
        <v>1</v>
      </c>
      <c r="Q387" s="17">
        <f>IF(Table11[[#This Row],[Direction]]="L",0.5,IF(Table11[[#This Row],[Direction]]="M",1.5,2.5))</f>
        <v>0.5</v>
      </c>
      <c r="R387" s="17" t="str">
        <f>IF(Table11[[#This Row],[Direction]]="R","Right",IF(Table11[[#This Row],[Direction]]="L","Left","Middle"))</f>
        <v>Left</v>
      </c>
      <c r="S387" s="17">
        <f>IF(Table11[[#This Row],[Pass Zone]]="S",0.5,IF(Table11[[#This Row],[Pass Zone]]="M",1.5,2.5))</f>
        <v>2.5</v>
      </c>
      <c r="T387" s="139"/>
      <c r="U387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387" s="139"/>
      <c r="W387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388" spans="1:23" x14ac:dyDescent="0.25">
      <c r="A388" s="17">
        <v>152</v>
      </c>
      <c r="B388">
        <v>2</v>
      </c>
      <c r="C388">
        <v>2</v>
      </c>
      <c r="D388">
        <v>9</v>
      </c>
      <c r="E388">
        <v>-27</v>
      </c>
      <c r="F388">
        <v>-1</v>
      </c>
      <c r="G388" t="s">
        <v>72</v>
      </c>
      <c r="J388" t="s">
        <v>13</v>
      </c>
      <c r="K388" t="s">
        <v>70</v>
      </c>
      <c r="L388"/>
      <c r="M388">
        <v>1</v>
      </c>
      <c r="N388">
        <v>0</v>
      </c>
      <c r="O388" t="s">
        <v>67</v>
      </c>
      <c r="P388" s="17">
        <f>Table11[[#This Row],[Gain/Loss]]</f>
        <v>-1</v>
      </c>
      <c r="Q388" s="17">
        <f>IF(Table11[[#This Row],[Direction]]="L",0.5,IF(Table11[[#This Row],[Direction]]="M",1.5,2.5))</f>
        <v>1.5</v>
      </c>
      <c r="R388" s="17" t="str">
        <f>IF(Table11[[#This Row],[Direction]]="R","Right",IF(Table11[[#This Row],[Direction]]="L","Left","Middle"))</f>
        <v>Middle</v>
      </c>
      <c r="S388" s="17">
        <f>IF(Table11[[#This Row],[Pass Zone]]="S",0.5,IF(Table11[[#This Row],[Pass Zone]]="M",1.5,2.5))</f>
        <v>0.5</v>
      </c>
      <c r="T388" s="139"/>
      <c r="U388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388" s="139"/>
      <c r="W388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389" spans="1:23" x14ac:dyDescent="0.25">
      <c r="A389" s="17">
        <v>154</v>
      </c>
      <c r="B389">
        <v>3</v>
      </c>
      <c r="C389">
        <v>3</v>
      </c>
      <c r="D389">
        <v>10</v>
      </c>
      <c r="E389">
        <v>-26</v>
      </c>
      <c r="F389">
        <v>3</v>
      </c>
      <c r="G389" t="s">
        <v>66</v>
      </c>
      <c r="J389" t="s">
        <v>13</v>
      </c>
      <c r="K389" t="s">
        <v>72</v>
      </c>
      <c r="L389"/>
      <c r="M389">
        <v>1</v>
      </c>
      <c r="N389">
        <v>1</v>
      </c>
      <c r="O389" t="s">
        <v>67</v>
      </c>
      <c r="P389" s="17">
        <f>Table11[[#This Row],[Gain/Loss]]</f>
        <v>3</v>
      </c>
      <c r="Q389" s="17">
        <f>IF(Table11[[#This Row],[Direction]]="L",0.5,IF(Table11[[#This Row],[Direction]]="M",1.5,2.5))</f>
        <v>0.5</v>
      </c>
      <c r="R389" s="17" t="str">
        <f>IF(Table11[[#This Row],[Direction]]="R","Right",IF(Table11[[#This Row],[Direction]]="L","Left","Middle"))</f>
        <v>Left</v>
      </c>
      <c r="S389" s="17">
        <f>IF(Table11[[#This Row],[Pass Zone]]="S",0.5,IF(Table11[[#This Row],[Pass Zone]]="M",1.5,2.5))</f>
        <v>0.5</v>
      </c>
      <c r="T389" s="139"/>
      <c r="U389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Field</v>
      </c>
      <c r="V389" s="139"/>
      <c r="W389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390" spans="1:23" x14ac:dyDescent="0.25">
      <c r="A390" s="17">
        <v>166</v>
      </c>
      <c r="B390">
        <v>1</v>
      </c>
      <c r="C390">
        <v>1</v>
      </c>
      <c r="D390">
        <v>10</v>
      </c>
      <c r="E390">
        <v>-35</v>
      </c>
      <c r="F390">
        <v>0</v>
      </c>
      <c r="G390" t="s">
        <v>70</v>
      </c>
      <c r="J390" t="s">
        <v>13</v>
      </c>
      <c r="K390" t="s">
        <v>72</v>
      </c>
      <c r="L390"/>
      <c r="M390">
        <v>1</v>
      </c>
      <c r="N390">
        <v>0</v>
      </c>
      <c r="O390"/>
      <c r="P390" s="17">
        <f>Table11[[#This Row],[Gain/Loss]]</f>
        <v>0</v>
      </c>
      <c r="Q390" s="17">
        <f>IF(Table11[[#This Row],[Direction]]="L",0.5,IF(Table11[[#This Row],[Direction]]="M",1.5,2.5))</f>
        <v>0.5</v>
      </c>
      <c r="R390" s="17" t="str">
        <f>IF(Table11[[#This Row],[Direction]]="R","Right",IF(Table11[[#This Row],[Direction]]="L","Left","Middle"))</f>
        <v>Left</v>
      </c>
      <c r="S390" s="17">
        <f>IF(Table11[[#This Row],[Pass Zone]]="S",0.5,IF(Table11[[#This Row],[Pass Zone]]="M",1.5,2.5))</f>
        <v>2.5</v>
      </c>
      <c r="T390" s="139"/>
      <c r="U390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390" s="139"/>
      <c r="W390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391" spans="1:23" x14ac:dyDescent="0.25">
      <c r="A391" s="17">
        <v>167</v>
      </c>
      <c r="B391">
        <v>2</v>
      </c>
      <c r="C391">
        <v>2</v>
      </c>
      <c r="D391">
        <v>10</v>
      </c>
      <c r="E391">
        <v>-35</v>
      </c>
      <c r="F391">
        <v>-1</v>
      </c>
      <c r="G391" t="s">
        <v>70</v>
      </c>
      <c r="J391" t="s">
        <v>13</v>
      </c>
      <c r="K391" t="s">
        <v>70</v>
      </c>
      <c r="L391"/>
      <c r="M391">
        <v>1</v>
      </c>
      <c r="N391">
        <v>0</v>
      </c>
      <c r="O391" t="s">
        <v>67</v>
      </c>
      <c r="P391" s="17">
        <f>Table11[[#This Row],[Gain/Loss]]</f>
        <v>-1</v>
      </c>
      <c r="Q391" s="17">
        <f>IF(Table11[[#This Row],[Direction]]="L",0.5,IF(Table11[[#This Row],[Direction]]="M",1.5,2.5))</f>
        <v>1.5</v>
      </c>
      <c r="R391" s="17" t="str">
        <f>IF(Table11[[#This Row],[Direction]]="R","Right",IF(Table11[[#This Row],[Direction]]="L","Left","Middle"))</f>
        <v>Middle</v>
      </c>
      <c r="S391" s="17">
        <f>IF(Table11[[#This Row],[Pass Zone]]="S",0.5,IF(Table11[[#This Row],[Pass Zone]]="M",1.5,2.5))</f>
        <v>0.5</v>
      </c>
      <c r="T391" s="139"/>
      <c r="U391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/>
      </c>
      <c r="V391" s="139"/>
      <c r="W391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  <row r="392" spans="1:23" x14ac:dyDescent="0.25">
      <c r="A392" s="17">
        <v>168</v>
      </c>
      <c r="B392">
        <v>3</v>
      </c>
      <c r="C392">
        <v>3</v>
      </c>
      <c r="D392">
        <v>11</v>
      </c>
      <c r="E392">
        <v>-34</v>
      </c>
      <c r="F392">
        <v>0</v>
      </c>
      <c r="G392" t="s">
        <v>66</v>
      </c>
      <c r="J392" t="s">
        <v>13</v>
      </c>
      <c r="K392" t="s">
        <v>66</v>
      </c>
      <c r="L392"/>
      <c r="M392">
        <v>1</v>
      </c>
      <c r="N392">
        <v>0</v>
      </c>
      <c r="O392"/>
      <c r="P392" s="17">
        <f>Table11[[#This Row],[Gain/Loss]]</f>
        <v>0</v>
      </c>
      <c r="Q392" s="17">
        <f>IF(Table11[[#This Row],[Direction]]="L",0.5,IF(Table11[[#This Row],[Direction]]="M",1.5,2.5))</f>
        <v>2.5</v>
      </c>
      <c r="R392" s="17" t="str">
        <f>IF(Table11[[#This Row],[Direction]]="R","Right",IF(Table11[[#This Row],[Direction]]="L","Left","Middle"))</f>
        <v>Right</v>
      </c>
      <c r="S392" s="17">
        <f>IF(Table11[[#This Row],[Pass Zone]]="S",0.5,IF(Table11[[#This Row],[Pass Zone]]="M",1.5,2.5))</f>
        <v>2.5</v>
      </c>
      <c r="T392" s="139"/>
      <c r="U392" s="17" t="str">
        <f>IF(AND(Table11[[#This Row],[Hash]]="R",Table11[[#This Row],[Direction]]="L"),"Field",IF(AND(Table11[[#This Row],[Hash]]="L",Table11[[#This Row],[Direction]]="R"),"Field",IF(AND(Table11[[#This Row],[Hash]]="R",Table11[[#This Row],[Direction]]="R"),"Boundry",IF(AND(Table11[[#This Row],[Hash]]="L",Table11[[#This Row],[Direction]]="L"),"Boundry",""))))</f>
        <v>Boundry</v>
      </c>
      <c r="V392" s="139"/>
      <c r="W392" s="17" t="str">
        <f>IF(AND(Table11[[#This Row],[Yard Line]]&gt;-21,Table11[[#This Row],[Yard Line]]&lt;-1),"0-20",IF(AND(Table11[[#This Row],[Yard Line]]&gt;-50,Table11[[#This Row],[Yard Line]]&lt;-20),"21-49",IF(AND(Table11[[#This Row],[Yard Line]]&lt;51,Table11[[#This Row],[Yard Line]]&gt;20),"50-21",IF(AND(Table11[[#This Row],[Yard Line]]&lt;21,Table11[[#This Row],[Yard Line]]&gt;2),"Red Zone",IF(Table11[[#This Row],[Yard Line]]&lt;3,"Goal Line","")))))</f>
        <v>21-49</v>
      </c>
    </row>
  </sheetData>
  <dataValidations count="14">
    <dataValidation type="list" allowBlank="1" showInputMessage="1" sqref="B17:B269" xr:uid="{00000000-0002-0000-0300-000000000000}">
      <formula1>ODK</formula1>
    </dataValidation>
    <dataValidation type="list" allowBlank="1" showInputMessage="1" showErrorMessage="1" sqref="C18:C269" xr:uid="{00000000-0002-0000-0300-000001000000}">
      <formula1>Down</formula1>
    </dataValidation>
    <dataValidation type="list" allowBlank="1" showInputMessage="1" sqref="D17:D269" xr:uid="{00000000-0002-0000-0300-000002000000}">
      <formula1>Distance</formula1>
    </dataValidation>
    <dataValidation type="list" allowBlank="1" showInputMessage="1" showErrorMessage="1" sqref="G29:G269" xr:uid="{00000000-0002-0000-0300-000003000000}">
      <formula1>Hash</formula1>
    </dataValidation>
    <dataValidation type="list" allowBlank="1" showInputMessage="1" showErrorMessage="1" sqref="H29:H269" xr:uid="{00000000-0002-0000-0300-000004000000}">
      <formula1>Strength</formula1>
    </dataValidation>
    <dataValidation type="list" allowBlank="1" showInputMessage="1" showErrorMessage="1" sqref="I18:I269" xr:uid="{00000000-0002-0000-0300-000005000000}">
      <formula1>Motion</formula1>
    </dataValidation>
    <dataValidation type="list" allowBlank="1" showInputMessage="1" showErrorMessage="1" sqref="J17:J269" xr:uid="{00000000-0002-0000-0300-000006000000}">
      <formula1>PlayType</formula1>
    </dataValidation>
    <dataValidation type="list" allowBlank="1" showInputMessage="1" showErrorMessage="1" sqref="K17:K269" xr:uid="{00000000-0002-0000-0300-000007000000}">
      <formula1>Direction</formula1>
    </dataValidation>
    <dataValidation type="list" allowBlank="1" showInputMessage="1" showErrorMessage="1" sqref="L17:L269" xr:uid="{00000000-0002-0000-0300-000008000000}">
      <formula1>Gap</formula1>
    </dataValidation>
    <dataValidation type="list" allowBlank="1" showInputMessage="1" sqref="C17" xr:uid="{00000000-0002-0000-0300-000009000000}">
      <formula1>Down</formula1>
    </dataValidation>
    <dataValidation type="list" allowBlank="1" showInputMessage="1" sqref="G17:G28" xr:uid="{00000000-0002-0000-0300-00000A000000}">
      <formula1>Hash</formula1>
    </dataValidation>
    <dataValidation type="list" allowBlank="1" showInputMessage="1" sqref="H17:H28" xr:uid="{00000000-0002-0000-0300-00000B000000}">
      <formula1>Strength</formula1>
    </dataValidation>
    <dataValidation type="list" allowBlank="1" showInputMessage="1" sqref="I17" xr:uid="{00000000-0002-0000-0300-00000C000000}">
      <formula1>Motion</formula1>
    </dataValidation>
    <dataValidation type="list" allowBlank="1" showInputMessage="1" sqref="O17:O269" xr:uid="{00000000-0002-0000-0300-00000D000000}">
      <formula1>Zone</formula1>
    </dataValidation>
  </dataValidations>
  <pageMargins left="0.7" right="0.7" top="0.75" bottom="0.75" header="0.3" footer="0.3"/>
  <pageSetup scale="16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xr:uid="{00000000-0002-0000-0300-00000E000000}">
          <x14:formula1>
            <xm:f>Lookup!$D$63:$D$65</xm:f>
          </x14:formula1>
          <xm:sqref>M17:M282</xm:sqref>
        </x14:dataValidation>
        <x14:dataValidation type="list" allowBlank="1" showInputMessage="1" xr:uid="{00000000-0002-0000-0300-00000F000000}">
          <x14:formula1>
            <xm:f>Lookup!$C$63:$C$65</xm:f>
          </x14:formula1>
          <xm:sqref>N17:N269</xm:sqref>
        </x14:dataValidation>
        <x14:dataValidation type="list" allowBlank="1" showInputMessage="1" xr:uid="{00000000-0002-0000-0300-000010000000}">
          <x14:formula1>
            <xm:f>Lookup!$B$69:$B$167</xm:f>
          </x14:formula1>
          <xm:sqref>E17:E269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>
    <tabColor rgb="FFFFFF00"/>
  </sheetPr>
  <dimension ref="A4:BC163"/>
  <sheetViews>
    <sheetView workbookViewId="0">
      <selection activeCell="E156" sqref="E156"/>
    </sheetView>
  </sheetViews>
  <sheetFormatPr defaultColWidth="9.140625" defaultRowHeight="15" x14ac:dyDescent="0.25"/>
  <cols>
    <col min="1" max="1" width="12.42578125" style="128" bestFit="1" customWidth="1"/>
    <col min="2" max="9" width="8.28515625" style="128" customWidth="1"/>
    <col min="10" max="10" width="8.28515625" style="132" customWidth="1"/>
    <col min="11" max="13" width="13.85546875" style="128" customWidth="1"/>
    <col min="14" max="33" width="8.28515625" style="128" customWidth="1"/>
    <col min="34" max="34" width="9.140625" style="128"/>
    <col min="35" max="35" width="4.28515625" style="128" bestFit="1" customWidth="1"/>
    <col min="36" max="38" width="5.28515625" style="128" bestFit="1" customWidth="1"/>
    <col min="39" max="39" width="4.28515625" style="128" bestFit="1" customWidth="1"/>
    <col min="40" max="44" width="5.28515625" style="128" bestFit="1" customWidth="1"/>
    <col min="45" max="16384" width="9.140625" style="128"/>
  </cols>
  <sheetData>
    <row r="4" spans="1:13" s="125" customFormat="1" ht="18.75" x14ac:dyDescent="0.3">
      <c r="A4" s="124" t="s">
        <v>76</v>
      </c>
      <c r="J4" s="126"/>
    </row>
    <row r="6" spans="1:13" x14ac:dyDescent="0.25">
      <c r="A6" s="14" t="s">
        <v>49</v>
      </c>
      <c r="B6" t="s">
        <v>77</v>
      </c>
      <c r="J6" s="128"/>
    </row>
    <row r="7" spans="1:13" x14ac:dyDescent="0.25">
      <c r="A7" s="14" t="s">
        <v>55</v>
      </c>
      <c r="B7" t="s">
        <v>13</v>
      </c>
      <c r="J7" s="128"/>
    </row>
    <row r="8" spans="1:13" x14ac:dyDescent="0.25">
      <c r="J8" s="128"/>
    </row>
    <row r="9" spans="1:13" x14ac:dyDescent="0.25">
      <c r="A9"/>
      <c r="B9" s="14" t="s">
        <v>78</v>
      </c>
      <c r="C9"/>
      <c r="D9"/>
      <c r="E9"/>
      <c r="F9"/>
      <c r="G9"/>
      <c r="H9"/>
      <c r="I9"/>
      <c r="J9"/>
      <c r="K9"/>
      <c r="L9"/>
      <c r="M9"/>
    </row>
    <row r="10" spans="1:13" x14ac:dyDescent="0.25">
      <c r="A10"/>
      <c r="B10" s="17" t="s">
        <v>79</v>
      </c>
      <c r="C10" s="17"/>
      <c r="D10" s="17"/>
      <c r="E10" s="17" t="s">
        <v>80</v>
      </c>
      <c r="F10" s="17"/>
      <c r="G10" s="17"/>
      <c r="H10" s="17" t="s">
        <v>81</v>
      </c>
      <c r="I10" s="17"/>
      <c r="J10" s="17"/>
      <c r="K10" s="17" t="s">
        <v>82</v>
      </c>
      <c r="L10" s="17" t="s">
        <v>83</v>
      </c>
      <c r="M10" s="17" t="s">
        <v>84</v>
      </c>
    </row>
    <row r="11" spans="1:13" x14ac:dyDescent="0.25">
      <c r="A11" s="14" t="s">
        <v>85</v>
      </c>
      <c r="B11" t="s">
        <v>71</v>
      </c>
      <c r="C11" t="s">
        <v>70</v>
      </c>
      <c r="D11" t="s">
        <v>67</v>
      </c>
      <c r="E11" t="s">
        <v>71</v>
      </c>
      <c r="F11" t="s">
        <v>70</v>
      </c>
      <c r="G11" t="s">
        <v>67</v>
      </c>
      <c r="H11" t="s">
        <v>71</v>
      </c>
      <c r="I11" t="s">
        <v>70</v>
      </c>
      <c r="J11" t="s">
        <v>67</v>
      </c>
      <c r="K11" s="17"/>
      <c r="L11" s="17"/>
      <c r="M11" s="17"/>
    </row>
    <row r="12" spans="1:13" x14ac:dyDescent="0.25">
      <c r="A12" s="15" t="s">
        <v>72</v>
      </c>
      <c r="B12" s="16">
        <v>5</v>
      </c>
      <c r="C12" s="16">
        <v>2</v>
      </c>
      <c r="D12" s="16">
        <v>7</v>
      </c>
      <c r="E12" s="16">
        <v>5</v>
      </c>
      <c r="F12" s="16">
        <v>2</v>
      </c>
      <c r="G12" s="16">
        <v>7</v>
      </c>
      <c r="H12" s="16">
        <v>112</v>
      </c>
      <c r="I12" s="16">
        <v>16</v>
      </c>
      <c r="J12" s="16">
        <v>6</v>
      </c>
      <c r="K12" s="16">
        <v>14</v>
      </c>
      <c r="L12" s="16">
        <v>14</v>
      </c>
      <c r="M12" s="16">
        <v>134</v>
      </c>
    </row>
    <row r="13" spans="1:13" x14ac:dyDescent="0.25">
      <c r="A13" s="15" t="s">
        <v>70</v>
      </c>
      <c r="B13" s="16"/>
      <c r="C13" s="16">
        <v>0</v>
      </c>
      <c r="D13" s="16">
        <v>20</v>
      </c>
      <c r="E13" s="16"/>
      <c r="F13" s="16">
        <v>0</v>
      </c>
      <c r="G13" s="16">
        <v>0</v>
      </c>
      <c r="H13" s="16"/>
      <c r="I13" s="16">
        <v>0</v>
      </c>
      <c r="J13" s="16">
        <v>-114</v>
      </c>
      <c r="K13" s="16">
        <v>20</v>
      </c>
      <c r="L13" s="16">
        <v>0</v>
      </c>
      <c r="M13" s="16">
        <v>-114</v>
      </c>
    </row>
    <row r="14" spans="1:13" x14ac:dyDescent="0.25">
      <c r="A14" s="15" t="s">
        <v>66</v>
      </c>
      <c r="B14" s="16">
        <v>7</v>
      </c>
      <c r="C14" s="16">
        <v>5</v>
      </c>
      <c r="D14" s="16">
        <v>3</v>
      </c>
      <c r="E14" s="16">
        <v>7</v>
      </c>
      <c r="F14" s="16">
        <v>5</v>
      </c>
      <c r="G14" s="16">
        <v>3</v>
      </c>
      <c r="H14" s="16">
        <v>156</v>
      </c>
      <c r="I14" s="16">
        <v>48</v>
      </c>
      <c r="J14" s="16">
        <v>14</v>
      </c>
      <c r="K14" s="16">
        <v>15</v>
      </c>
      <c r="L14" s="16">
        <v>15</v>
      </c>
      <c r="M14" s="16">
        <v>218</v>
      </c>
    </row>
    <row r="15" spans="1:13" x14ac:dyDescent="0.25">
      <c r="A15" s="15" t="s">
        <v>86</v>
      </c>
      <c r="B15" s="16">
        <v>12</v>
      </c>
      <c r="C15" s="16">
        <v>7</v>
      </c>
      <c r="D15" s="16">
        <v>30</v>
      </c>
      <c r="E15" s="16">
        <v>12</v>
      </c>
      <c r="F15" s="16">
        <v>7</v>
      </c>
      <c r="G15" s="16">
        <v>10</v>
      </c>
      <c r="H15" s="16">
        <v>268</v>
      </c>
      <c r="I15" s="16">
        <v>64</v>
      </c>
      <c r="J15" s="16">
        <v>-94</v>
      </c>
      <c r="K15" s="16">
        <v>49</v>
      </c>
      <c r="L15" s="16">
        <v>29</v>
      </c>
      <c r="M15" s="16">
        <v>238</v>
      </c>
    </row>
    <row r="16" spans="1:13" x14ac:dyDescent="0.25">
      <c r="A16" s="130"/>
      <c r="B16" s="131"/>
      <c r="C16" s="131"/>
      <c r="D16" s="131"/>
      <c r="E16" s="131"/>
      <c r="F16" s="131"/>
      <c r="G16" s="131"/>
      <c r="H16" s="131"/>
      <c r="I16" s="131"/>
      <c r="J16" s="131"/>
      <c r="K16" s="131"/>
      <c r="L16" s="131"/>
      <c r="M16" s="131"/>
    </row>
    <row r="17" spans="1:13" x14ac:dyDescent="0.25">
      <c r="A17" s="130"/>
      <c r="B17" s="131"/>
      <c r="C17" s="131"/>
      <c r="D17" s="131"/>
      <c r="E17" s="131"/>
      <c r="F17" s="131"/>
      <c r="G17" s="131"/>
      <c r="H17" s="131"/>
      <c r="I17" s="131"/>
      <c r="J17" s="131"/>
      <c r="K17" s="131"/>
      <c r="L17" s="131"/>
      <c r="M17" s="131"/>
    </row>
    <row r="18" spans="1:13" x14ac:dyDescent="0.25">
      <c r="A18" s="130"/>
      <c r="B18" s="131"/>
      <c r="C18" s="131"/>
      <c r="D18" s="131"/>
      <c r="E18" s="131"/>
      <c r="F18" s="131"/>
      <c r="G18" s="131"/>
      <c r="H18" s="131"/>
      <c r="I18" s="131"/>
      <c r="J18" s="131"/>
      <c r="K18" s="131"/>
      <c r="L18" s="131"/>
      <c r="M18" s="131"/>
    </row>
    <row r="19" spans="1:13" x14ac:dyDescent="0.25">
      <c r="A19" s="130"/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</row>
    <row r="20" spans="1:13" s="125" customFormat="1" ht="18.75" x14ac:dyDescent="0.3">
      <c r="A20" s="124" t="s">
        <v>87</v>
      </c>
      <c r="J20" s="126"/>
    </row>
    <row r="22" spans="1:13" x14ac:dyDescent="0.25">
      <c r="A22" s="14" t="s">
        <v>49</v>
      </c>
      <c r="B22" t="s">
        <v>77</v>
      </c>
    </row>
    <row r="23" spans="1:13" x14ac:dyDescent="0.25">
      <c r="A23" s="14" t="s">
        <v>55</v>
      </c>
      <c r="B23" t="s">
        <v>12</v>
      </c>
    </row>
    <row r="25" spans="1:13" x14ac:dyDescent="0.25">
      <c r="A25" s="14" t="s">
        <v>85</v>
      </c>
      <c r="B25" t="s">
        <v>88</v>
      </c>
      <c r="C25" t="s">
        <v>89</v>
      </c>
      <c r="D25" t="s">
        <v>90</v>
      </c>
      <c r="E25" t="s">
        <v>91</v>
      </c>
    </row>
    <row r="26" spans="1:13" x14ac:dyDescent="0.25">
      <c r="A26" s="15" t="s">
        <v>72</v>
      </c>
      <c r="B26" s="16"/>
      <c r="C26" s="62"/>
      <c r="D26" s="16"/>
      <c r="E26" s="62"/>
    </row>
    <row r="27" spans="1:13" x14ac:dyDescent="0.25">
      <c r="A27" s="23" t="s">
        <v>75</v>
      </c>
      <c r="B27" s="16">
        <v>4</v>
      </c>
      <c r="C27" s="62">
        <v>1.4760147601476014E-2</v>
      </c>
      <c r="D27" s="16">
        <v>46</v>
      </c>
      <c r="E27" s="62">
        <v>3.0687124749833223E-2</v>
      </c>
    </row>
    <row r="28" spans="1:13" x14ac:dyDescent="0.25">
      <c r="A28" s="23" t="s">
        <v>74</v>
      </c>
      <c r="B28" s="16">
        <v>103</v>
      </c>
      <c r="C28" s="62">
        <v>0.38007380073800739</v>
      </c>
      <c r="D28" s="16">
        <v>511</v>
      </c>
      <c r="E28" s="62">
        <v>0.34089392928619078</v>
      </c>
    </row>
    <row r="29" spans="1:13" x14ac:dyDescent="0.25">
      <c r="A29" s="23" t="s">
        <v>73</v>
      </c>
      <c r="B29" s="16">
        <v>0</v>
      </c>
      <c r="C29" s="62">
        <v>0</v>
      </c>
      <c r="D29" s="16">
        <v>0</v>
      </c>
      <c r="E29" s="62">
        <v>0</v>
      </c>
    </row>
    <row r="30" spans="1:13" x14ac:dyDescent="0.25">
      <c r="A30" s="15" t="s">
        <v>92</v>
      </c>
      <c r="B30" s="16">
        <v>107</v>
      </c>
      <c r="C30" s="62">
        <v>0.39483394833948338</v>
      </c>
      <c r="D30" s="16">
        <v>557</v>
      </c>
      <c r="E30" s="62">
        <v>0.37158105403602404</v>
      </c>
    </row>
    <row r="31" spans="1:13" x14ac:dyDescent="0.25">
      <c r="A31" s="15" t="s">
        <v>66</v>
      </c>
      <c r="B31" s="16"/>
      <c r="C31" s="62"/>
      <c r="D31" s="16"/>
      <c r="E31" s="62"/>
    </row>
    <row r="32" spans="1:13" x14ac:dyDescent="0.25">
      <c r="A32" s="23" t="s">
        <v>75</v>
      </c>
      <c r="B32" s="16">
        <v>5</v>
      </c>
      <c r="C32" s="62">
        <v>1.8450184501845018E-2</v>
      </c>
      <c r="D32" s="16">
        <v>97</v>
      </c>
      <c r="E32" s="62">
        <v>6.4709806537691789E-2</v>
      </c>
    </row>
    <row r="33" spans="1:21" x14ac:dyDescent="0.25">
      <c r="A33" s="23" t="s">
        <v>74</v>
      </c>
      <c r="B33" s="16">
        <v>159</v>
      </c>
      <c r="C33" s="62">
        <v>0.58671586715867163</v>
      </c>
      <c r="D33" s="16">
        <v>845</v>
      </c>
      <c r="E33" s="62">
        <v>0.5637091394262842</v>
      </c>
    </row>
    <row r="34" spans="1:21" x14ac:dyDescent="0.25">
      <c r="A34" s="23" t="s">
        <v>73</v>
      </c>
      <c r="B34" s="16">
        <v>0</v>
      </c>
      <c r="C34" s="62">
        <v>0</v>
      </c>
      <c r="D34" s="16">
        <v>0</v>
      </c>
      <c r="E34" s="62">
        <v>0</v>
      </c>
    </row>
    <row r="35" spans="1:21" x14ac:dyDescent="0.25">
      <c r="A35" s="15" t="s">
        <v>93</v>
      </c>
      <c r="B35" s="16">
        <v>164</v>
      </c>
      <c r="C35" s="62">
        <v>0.60516605166051662</v>
      </c>
      <c r="D35" s="16">
        <v>942</v>
      </c>
      <c r="E35" s="62">
        <v>0.62841894596397596</v>
      </c>
    </row>
    <row r="36" spans="1:21" x14ac:dyDescent="0.25">
      <c r="A36" s="15" t="s">
        <v>86</v>
      </c>
      <c r="B36" s="16">
        <v>271</v>
      </c>
      <c r="C36" s="62">
        <v>1</v>
      </c>
      <c r="D36" s="16">
        <v>1499</v>
      </c>
      <c r="E36" s="62">
        <v>1</v>
      </c>
    </row>
    <row r="37" spans="1:21" x14ac:dyDescent="0.25">
      <c r="A37"/>
      <c r="B37"/>
      <c r="C37"/>
      <c r="D37"/>
      <c r="E37"/>
    </row>
    <row r="38" spans="1:21" x14ac:dyDescent="0.25">
      <c r="A38"/>
      <c r="B38"/>
      <c r="C38"/>
      <c r="D38"/>
      <c r="E38"/>
    </row>
    <row r="39" spans="1:21" x14ac:dyDescent="0.25">
      <c r="A39"/>
      <c r="B39"/>
      <c r="C39"/>
      <c r="D39"/>
      <c r="E39"/>
    </row>
    <row r="40" spans="1:21" x14ac:dyDescent="0.25">
      <c r="A40"/>
      <c r="B40"/>
      <c r="C40"/>
      <c r="D40"/>
      <c r="E40"/>
    </row>
    <row r="41" spans="1:21" x14ac:dyDescent="0.25">
      <c r="A41"/>
      <c r="B41"/>
      <c r="C41"/>
      <c r="D41"/>
      <c r="E41"/>
    </row>
    <row r="42" spans="1:21" x14ac:dyDescent="0.25">
      <c r="A42"/>
      <c r="B42"/>
      <c r="C42"/>
      <c r="D42"/>
      <c r="E42"/>
    </row>
    <row r="43" spans="1:21" s="125" customFormat="1" x14ac:dyDescent="0.25">
      <c r="A43"/>
      <c r="B43"/>
      <c r="C43"/>
      <c r="D43"/>
      <c r="E43"/>
      <c r="J43" s="126"/>
    </row>
    <row r="44" spans="1:21" x14ac:dyDescent="0.25">
      <c r="A44"/>
      <c r="B44"/>
      <c r="C44"/>
      <c r="D44"/>
      <c r="E44"/>
    </row>
    <row r="45" spans="1:21" x14ac:dyDescent="0.25">
      <c r="A45" s="14" t="s">
        <v>49</v>
      </c>
      <c r="B45" t="s">
        <v>77</v>
      </c>
      <c r="J45" s="128"/>
    </row>
    <row r="46" spans="1:21" x14ac:dyDescent="0.25">
      <c r="J46" s="128"/>
      <c r="L46" s="127"/>
      <c r="M46" s="127"/>
      <c r="N46" s="127"/>
      <c r="O46" s="127"/>
      <c r="P46" s="127"/>
      <c r="Q46" s="127"/>
      <c r="R46" s="127"/>
      <c r="S46" s="127"/>
      <c r="T46" s="127"/>
    </row>
    <row r="47" spans="1:21" s="134" customFormat="1" ht="45" x14ac:dyDescent="0.25">
      <c r="A47" s="65" t="s">
        <v>85</v>
      </c>
      <c r="B47" s="5" t="s">
        <v>89</v>
      </c>
      <c r="C47" s="5" t="s">
        <v>94</v>
      </c>
      <c r="D47" s="5" t="s">
        <v>95</v>
      </c>
      <c r="E47" s="5" t="s">
        <v>96</v>
      </c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8"/>
    </row>
    <row r="48" spans="1:21" x14ac:dyDescent="0.25">
      <c r="A48" s="15" t="s">
        <v>12</v>
      </c>
      <c r="B48" s="16">
        <v>271</v>
      </c>
      <c r="C48" s="63">
        <v>0.7207446808510638</v>
      </c>
      <c r="D48" s="16">
        <v>1499</v>
      </c>
      <c r="E48" s="64">
        <v>5.5313653136531364</v>
      </c>
      <c r="J48" s="128"/>
    </row>
    <row r="49" spans="1:10" x14ac:dyDescent="0.25">
      <c r="A49" s="15" t="s">
        <v>13</v>
      </c>
      <c r="B49" s="16">
        <v>105</v>
      </c>
      <c r="C49" s="63">
        <v>0.27925531914893614</v>
      </c>
      <c r="D49" s="16">
        <v>235</v>
      </c>
      <c r="E49" s="64">
        <v>2.2380952380952381</v>
      </c>
      <c r="J49" s="128"/>
    </row>
    <row r="50" spans="1:10" x14ac:dyDescent="0.25">
      <c r="A50" s="15" t="s">
        <v>86</v>
      </c>
      <c r="B50" s="16">
        <v>376</v>
      </c>
      <c r="C50" s="62">
        <v>1</v>
      </c>
      <c r="D50" s="16">
        <v>1734</v>
      </c>
      <c r="E50" s="16">
        <v>4.6117021276595747</v>
      </c>
      <c r="J50" s="128"/>
    </row>
    <row r="51" spans="1:10" x14ac:dyDescent="0.25">
      <c r="A51" s="130"/>
      <c r="B51" s="131"/>
      <c r="C51" s="133"/>
      <c r="D51" s="131"/>
      <c r="E51" s="131"/>
      <c r="J51" s="128"/>
    </row>
    <row r="52" spans="1:10" x14ac:dyDescent="0.25">
      <c r="A52" s="130"/>
      <c r="B52" s="131"/>
      <c r="C52" s="133"/>
      <c r="D52" s="131"/>
      <c r="E52" s="131"/>
      <c r="J52" s="128"/>
    </row>
    <row r="53" spans="1:10" x14ac:dyDescent="0.25">
      <c r="A53" s="130"/>
      <c r="B53" s="131"/>
      <c r="C53" s="133"/>
      <c r="D53" s="131"/>
      <c r="E53" s="131"/>
      <c r="J53" s="128"/>
    </row>
    <row r="54" spans="1:10" x14ac:dyDescent="0.25">
      <c r="A54" s="130"/>
      <c r="B54" s="131"/>
      <c r="C54" s="133"/>
      <c r="D54" s="131"/>
      <c r="E54" s="131"/>
      <c r="J54" s="128"/>
    </row>
    <row r="55" spans="1:10" x14ac:dyDescent="0.25">
      <c r="A55" s="130"/>
      <c r="B55" s="131"/>
      <c r="C55" s="133"/>
      <c r="D55" s="131"/>
      <c r="E55" s="131"/>
      <c r="J55" s="128"/>
    </row>
    <row r="56" spans="1:10" x14ac:dyDescent="0.25">
      <c r="A56" s="182" t="s">
        <v>97</v>
      </c>
      <c r="B56" s="182"/>
      <c r="C56" s="182"/>
      <c r="D56" s="182"/>
      <c r="E56" s="182"/>
      <c r="F56" s="182"/>
      <c r="G56" s="182"/>
      <c r="H56" s="182"/>
      <c r="I56" s="182"/>
      <c r="J56" s="128"/>
    </row>
    <row r="57" spans="1:10" x14ac:dyDescent="0.25">
      <c r="A57" s="182"/>
      <c r="B57" s="182"/>
      <c r="C57" s="182"/>
      <c r="D57" s="182"/>
      <c r="E57" s="182"/>
      <c r="F57" s="182"/>
      <c r="G57" s="182"/>
      <c r="H57" s="182"/>
      <c r="I57" s="182"/>
      <c r="J57" s="128"/>
    </row>
    <row r="58" spans="1:10" x14ac:dyDescent="0.25">
      <c r="A58" s="182"/>
      <c r="B58" s="182"/>
      <c r="C58" s="182"/>
      <c r="D58" s="182"/>
      <c r="E58" s="182"/>
      <c r="F58" s="182"/>
      <c r="G58" s="182"/>
      <c r="H58" s="182"/>
      <c r="I58" s="182"/>
      <c r="J58" s="128"/>
    </row>
    <row r="59" spans="1:10" x14ac:dyDescent="0.25">
      <c r="A59" s="182"/>
      <c r="B59" s="182"/>
      <c r="C59" s="182"/>
      <c r="D59" s="182"/>
      <c r="E59" s="182"/>
      <c r="F59" s="182"/>
      <c r="G59" s="182"/>
      <c r="H59" s="182"/>
      <c r="I59" s="182"/>
      <c r="J59" s="128"/>
    </row>
    <row r="60" spans="1:10" x14ac:dyDescent="0.25">
      <c r="A60" s="182"/>
      <c r="B60" s="182"/>
      <c r="C60" s="182"/>
      <c r="D60" s="182"/>
      <c r="E60" s="182"/>
      <c r="F60" s="182"/>
      <c r="G60" s="182"/>
      <c r="H60" s="182"/>
      <c r="I60" s="182"/>
      <c r="J60" s="128"/>
    </row>
    <row r="61" spans="1:10" x14ac:dyDescent="0.25">
      <c r="A61" s="130"/>
      <c r="B61" s="131"/>
      <c r="C61" s="133"/>
      <c r="D61" s="131"/>
      <c r="E61" s="131"/>
      <c r="J61" s="128"/>
    </row>
    <row r="62" spans="1:10" x14ac:dyDescent="0.25">
      <c r="A62" s="130"/>
      <c r="B62" s="131"/>
      <c r="C62" s="133"/>
      <c r="D62" s="131"/>
      <c r="E62" s="131"/>
      <c r="J62" s="128"/>
    </row>
    <row r="63" spans="1:10" x14ac:dyDescent="0.25">
      <c r="J63" s="128"/>
    </row>
    <row r="64" spans="1:10" s="125" customFormat="1" ht="18.75" x14ac:dyDescent="0.3">
      <c r="A64" s="124" t="s">
        <v>98</v>
      </c>
      <c r="J64" s="126"/>
    </row>
    <row r="65" spans="1:13" x14ac:dyDescent="0.25">
      <c r="A65" s="130"/>
      <c r="B65" s="131"/>
      <c r="C65" s="133"/>
      <c r="D65" s="131"/>
      <c r="E65" s="131"/>
    </row>
    <row r="66" spans="1:13" x14ac:dyDescent="0.25">
      <c r="A66" s="14" t="s">
        <v>49</v>
      </c>
      <c r="B66" t="s">
        <v>77</v>
      </c>
      <c r="C66" s="133"/>
      <c r="D66" s="131"/>
      <c r="E66" s="131"/>
    </row>
    <row r="68" spans="1:13" x14ac:dyDescent="0.25">
      <c r="A68"/>
      <c r="B68" s="14" t="s">
        <v>78</v>
      </c>
      <c r="C68"/>
      <c r="D68"/>
      <c r="E68"/>
      <c r="F68"/>
      <c r="G68"/>
    </row>
    <row r="69" spans="1:13" x14ac:dyDescent="0.25">
      <c r="A69"/>
      <c r="B69" t="s">
        <v>12</v>
      </c>
      <c r="C69"/>
      <c r="D69" t="s">
        <v>13</v>
      </c>
      <c r="E69"/>
      <c r="F69" t="s">
        <v>99</v>
      </c>
      <c r="G69" t="s">
        <v>100</v>
      </c>
    </row>
    <row r="70" spans="1:13" x14ac:dyDescent="0.25">
      <c r="A70" s="14" t="s">
        <v>85</v>
      </c>
      <c r="B70" t="s">
        <v>229</v>
      </c>
      <c r="C70" t="s">
        <v>230</v>
      </c>
      <c r="D70" t="s">
        <v>229</v>
      </c>
      <c r="E70" t="s">
        <v>230</v>
      </c>
      <c r="F70"/>
      <c r="G70"/>
      <c r="J70" s="137"/>
      <c r="K70" s="137"/>
      <c r="L70" s="132"/>
      <c r="M70" s="132"/>
    </row>
    <row r="71" spans="1:13" x14ac:dyDescent="0.25">
      <c r="A71" s="15">
        <v>1</v>
      </c>
      <c r="B71" s="16">
        <v>124</v>
      </c>
      <c r="C71" s="63">
        <v>0.78481012658227844</v>
      </c>
      <c r="D71" s="16">
        <v>34</v>
      </c>
      <c r="E71" s="63">
        <v>0.21518987341772153</v>
      </c>
      <c r="F71" s="16">
        <v>158</v>
      </c>
      <c r="G71" s="63">
        <v>1</v>
      </c>
      <c r="K71" s="132"/>
    </row>
    <row r="72" spans="1:13" x14ac:dyDescent="0.25">
      <c r="A72" s="15">
        <v>2</v>
      </c>
      <c r="B72" s="16">
        <v>99</v>
      </c>
      <c r="C72" s="63">
        <v>0.7734375</v>
      </c>
      <c r="D72" s="16">
        <v>29</v>
      </c>
      <c r="E72" s="63">
        <v>0.2265625</v>
      </c>
      <c r="F72" s="16">
        <v>128</v>
      </c>
      <c r="G72" s="63">
        <v>1</v>
      </c>
      <c r="K72" s="132"/>
    </row>
    <row r="73" spans="1:13" x14ac:dyDescent="0.25">
      <c r="A73" s="15">
        <v>3</v>
      </c>
      <c r="B73" s="16">
        <v>44</v>
      </c>
      <c r="C73" s="63">
        <v>0.55696202531645567</v>
      </c>
      <c r="D73" s="16">
        <v>35</v>
      </c>
      <c r="E73" s="63">
        <v>0.44303797468354428</v>
      </c>
      <c r="F73" s="16">
        <v>79</v>
      </c>
      <c r="G73" s="63">
        <v>1</v>
      </c>
      <c r="K73" s="132"/>
    </row>
    <row r="74" spans="1:13" x14ac:dyDescent="0.25">
      <c r="A74" s="15">
        <v>4</v>
      </c>
      <c r="B74" s="16">
        <v>4</v>
      </c>
      <c r="C74" s="63">
        <v>0.36363636363636365</v>
      </c>
      <c r="D74" s="16">
        <v>7</v>
      </c>
      <c r="E74" s="63">
        <v>0.63636363636363635</v>
      </c>
      <c r="F74" s="16">
        <v>11</v>
      </c>
      <c r="G74" s="63">
        <v>1</v>
      </c>
      <c r="K74" s="132"/>
    </row>
    <row r="75" spans="1:13" x14ac:dyDescent="0.25">
      <c r="A75" s="15" t="s">
        <v>86</v>
      </c>
      <c r="B75" s="16">
        <v>271</v>
      </c>
      <c r="C75" s="63">
        <v>0.7207446808510638</v>
      </c>
      <c r="D75" s="16">
        <v>105</v>
      </c>
      <c r="E75" s="63">
        <v>0.27925531914893614</v>
      </c>
      <c r="F75" s="16">
        <v>376</v>
      </c>
      <c r="G75" s="63">
        <v>1</v>
      </c>
      <c r="K75" s="132"/>
    </row>
    <row r="76" spans="1:13" x14ac:dyDescent="0.25">
      <c r="K76" s="132"/>
    </row>
    <row r="77" spans="1:13" x14ac:dyDescent="0.25">
      <c r="K77" s="132"/>
    </row>
    <row r="78" spans="1:13" x14ac:dyDescent="0.25">
      <c r="A78" s="130"/>
      <c r="B78" s="131"/>
      <c r="C78" s="133"/>
      <c r="D78" s="131"/>
      <c r="E78" s="131"/>
    </row>
    <row r="79" spans="1:13" s="125" customFormat="1" ht="18.75" x14ac:dyDescent="0.3">
      <c r="A79" s="124" t="s">
        <v>101</v>
      </c>
      <c r="J79" s="126"/>
    </row>
    <row r="81" spans="1:18" x14ac:dyDescent="0.25">
      <c r="A81" s="14" t="s">
        <v>49</v>
      </c>
      <c r="B81" t="s">
        <v>77</v>
      </c>
    </row>
    <row r="83" spans="1:18" x14ac:dyDescent="0.25">
      <c r="A83" s="14" t="s">
        <v>85</v>
      </c>
      <c r="B83" t="s">
        <v>89</v>
      </c>
      <c r="C83" t="s">
        <v>102</v>
      </c>
      <c r="D83" t="s">
        <v>90</v>
      </c>
      <c r="E83" t="s">
        <v>103</v>
      </c>
      <c r="J83" s="128"/>
    </row>
    <row r="84" spans="1:18" x14ac:dyDescent="0.25">
      <c r="A84" s="15" t="s">
        <v>86</v>
      </c>
      <c r="B84" s="62" t="e">
        <v>#DIV/0!</v>
      </c>
      <c r="C84" s="16"/>
      <c r="D84" s="16"/>
      <c r="E84" s="16" t="e">
        <v>#DIV/0!</v>
      </c>
      <c r="J84" s="128"/>
    </row>
    <row r="85" spans="1:18" x14ac:dyDescent="0.25">
      <c r="J85" s="128"/>
    </row>
    <row r="86" spans="1:18" x14ac:dyDescent="0.25">
      <c r="J86" s="128"/>
      <c r="L86" s="129"/>
      <c r="M86" s="138"/>
      <c r="R86" s="136"/>
    </row>
    <row r="87" spans="1:18" x14ac:dyDescent="0.25">
      <c r="J87" s="128"/>
      <c r="L87" s="129"/>
      <c r="M87" s="138"/>
      <c r="R87" s="136"/>
    </row>
    <row r="88" spans="1:18" x14ac:dyDescent="0.25">
      <c r="J88" s="128"/>
      <c r="L88" s="129"/>
      <c r="M88" s="138"/>
      <c r="R88" s="136"/>
    </row>
    <row r="89" spans="1:18" x14ac:dyDescent="0.25">
      <c r="J89" s="128"/>
      <c r="L89" s="129"/>
      <c r="M89" s="138"/>
      <c r="R89" s="136"/>
    </row>
    <row r="90" spans="1:18" x14ac:dyDescent="0.25">
      <c r="J90" s="128"/>
      <c r="L90" s="129"/>
      <c r="M90" s="138"/>
      <c r="R90" s="136"/>
    </row>
    <row r="91" spans="1:18" x14ac:dyDescent="0.25">
      <c r="J91" s="128"/>
      <c r="L91" s="129"/>
      <c r="M91" s="138"/>
      <c r="R91" s="136"/>
    </row>
    <row r="92" spans="1:18" x14ac:dyDescent="0.25">
      <c r="J92" s="128"/>
    </row>
    <row r="93" spans="1:18" s="125" customFormat="1" ht="18.75" x14ac:dyDescent="0.3">
      <c r="A93" s="124" t="s">
        <v>104</v>
      </c>
      <c r="J93" s="126"/>
    </row>
    <row r="95" spans="1:18" x14ac:dyDescent="0.25">
      <c r="A95" s="14" t="s">
        <v>49</v>
      </c>
      <c r="B95" t="s">
        <v>77</v>
      </c>
    </row>
    <row r="97" spans="1:55" x14ac:dyDescent="0.25">
      <c r="A97" s="14" t="s">
        <v>85</v>
      </c>
      <c r="B97" t="s">
        <v>89</v>
      </c>
      <c r="C97" t="s">
        <v>102</v>
      </c>
      <c r="D97" t="s">
        <v>90</v>
      </c>
      <c r="E97" t="s">
        <v>103</v>
      </c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  <c r="AA97" s="127"/>
      <c r="AB97" s="127"/>
      <c r="AC97" s="127"/>
      <c r="AD97" s="127"/>
      <c r="AE97" s="127"/>
      <c r="AF97" s="127"/>
      <c r="AG97" s="127"/>
      <c r="AH97" s="127"/>
      <c r="AI97" s="127"/>
      <c r="AJ97" s="127"/>
      <c r="AK97" s="127"/>
      <c r="AL97" s="127"/>
      <c r="AM97" s="127"/>
      <c r="AN97" s="127"/>
      <c r="AO97" s="127"/>
      <c r="AP97" s="127"/>
      <c r="AQ97" s="127"/>
      <c r="AR97" s="127"/>
      <c r="AS97" s="127"/>
      <c r="AT97" s="127"/>
      <c r="AU97" s="127"/>
      <c r="AV97" s="127"/>
      <c r="AW97" s="127"/>
      <c r="AX97" s="127"/>
      <c r="AY97" s="127"/>
      <c r="AZ97" s="127"/>
      <c r="BA97" s="127"/>
      <c r="BB97" s="127"/>
      <c r="BC97" s="127"/>
    </row>
    <row r="98" spans="1:55" x14ac:dyDescent="0.25">
      <c r="A98" s="15" t="s">
        <v>86</v>
      </c>
      <c r="B98" s="62" t="e">
        <v>#DIV/0!</v>
      </c>
      <c r="C98" s="16"/>
      <c r="D98" s="16"/>
      <c r="E98" s="16" t="e">
        <v>#DIV/0!</v>
      </c>
      <c r="J98" s="128"/>
    </row>
    <row r="99" spans="1:55" x14ac:dyDescent="0.25">
      <c r="J99" s="128"/>
    </row>
    <row r="100" spans="1:55" x14ac:dyDescent="0.25">
      <c r="J100" s="128"/>
      <c r="L100" s="129"/>
      <c r="M100" s="138"/>
      <c r="R100" s="136"/>
    </row>
    <row r="101" spans="1:55" x14ac:dyDescent="0.25">
      <c r="J101" s="128"/>
      <c r="L101" s="129"/>
      <c r="M101" s="138"/>
      <c r="R101" s="136"/>
    </row>
    <row r="102" spans="1:55" x14ac:dyDescent="0.25">
      <c r="J102" s="128"/>
      <c r="L102" s="129"/>
      <c r="M102" s="138"/>
      <c r="R102" s="136"/>
    </row>
    <row r="103" spans="1:55" x14ac:dyDescent="0.25">
      <c r="J103" s="128"/>
    </row>
    <row r="104" spans="1:55" x14ac:dyDescent="0.25">
      <c r="J104" s="128"/>
    </row>
    <row r="105" spans="1:55" x14ac:dyDescent="0.25">
      <c r="J105" s="128"/>
    </row>
    <row r="106" spans="1:55" x14ac:dyDescent="0.25">
      <c r="J106" s="128"/>
    </row>
    <row r="107" spans="1:55" s="125" customFormat="1" ht="18.75" x14ac:dyDescent="0.3">
      <c r="A107" s="124" t="s">
        <v>105</v>
      </c>
      <c r="J107" s="126"/>
    </row>
    <row r="108" spans="1:55" x14ac:dyDescent="0.25">
      <c r="J108" s="128"/>
    </row>
    <row r="109" spans="1:55" x14ac:dyDescent="0.25">
      <c r="A109" s="14" t="s">
        <v>49</v>
      </c>
      <c r="B109" t="s">
        <v>77</v>
      </c>
      <c r="J109" s="128"/>
    </row>
    <row r="110" spans="1:55" x14ac:dyDescent="0.25">
      <c r="J110" s="128"/>
    </row>
    <row r="111" spans="1:55" x14ac:dyDescent="0.25">
      <c r="A111"/>
      <c r="B111" s="14" t="s">
        <v>78</v>
      </c>
      <c r="C111"/>
      <c r="D111"/>
      <c r="E111"/>
      <c r="F111"/>
      <c r="G111"/>
      <c r="J111" s="128"/>
    </row>
    <row r="112" spans="1:55" x14ac:dyDescent="0.25">
      <c r="A112"/>
      <c r="B112" t="s">
        <v>12</v>
      </c>
      <c r="C112"/>
      <c r="D112" t="s">
        <v>13</v>
      </c>
      <c r="E112"/>
      <c r="F112" t="s">
        <v>99</v>
      </c>
      <c r="G112" t="s">
        <v>100</v>
      </c>
      <c r="J112" s="128"/>
    </row>
    <row r="113" spans="1:37" x14ac:dyDescent="0.25">
      <c r="A113" s="14" t="s">
        <v>85</v>
      </c>
      <c r="B113" t="s">
        <v>229</v>
      </c>
      <c r="C113" t="s">
        <v>230</v>
      </c>
      <c r="D113" t="s">
        <v>229</v>
      </c>
      <c r="E113" t="s">
        <v>230</v>
      </c>
      <c r="F113"/>
      <c r="G113"/>
      <c r="J113" s="128"/>
    </row>
    <row r="114" spans="1:37" x14ac:dyDescent="0.25">
      <c r="A114" s="15" t="s">
        <v>40</v>
      </c>
      <c r="B114" s="16">
        <v>86</v>
      </c>
      <c r="C114" s="62">
        <v>0.39449541284403672</v>
      </c>
      <c r="D114" s="16">
        <v>12</v>
      </c>
      <c r="E114" s="62">
        <v>0.19047619047619047</v>
      </c>
      <c r="F114" s="16">
        <v>98</v>
      </c>
      <c r="G114" s="62">
        <v>0.3487544483985765</v>
      </c>
      <c r="J114" s="128"/>
    </row>
    <row r="115" spans="1:37" x14ac:dyDescent="0.25">
      <c r="A115" s="15" t="s">
        <v>36</v>
      </c>
      <c r="B115" s="16">
        <v>132</v>
      </c>
      <c r="C115" s="62">
        <v>0.60550458715596334</v>
      </c>
      <c r="D115" s="16">
        <v>51</v>
      </c>
      <c r="E115" s="62">
        <v>0.80952380952380953</v>
      </c>
      <c r="F115" s="16">
        <v>183</v>
      </c>
      <c r="G115" s="62">
        <v>0.6512455516014235</v>
      </c>
      <c r="J115" s="128"/>
    </row>
    <row r="116" spans="1:37" x14ac:dyDescent="0.25">
      <c r="A116" s="34" t="s">
        <v>86</v>
      </c>
      <c r="B116" s="16">
        <v>218</v>
      </c>
      <c r="C116" s="63">
        <v>1</v>
      </c>
      <c r="D116" s="16">
        <v>63</v>
      </c>
      <c r="E116" s="63">
        <v>1</v>
      </c>
      <c r="F116" s="16">
        <v>281</v>
      </c>
      <c r="G116" s="63">
        <v>1</v>
      </c>
      <c r="J116" s="128"/>
      <c r="N116" s="132"/>
    </row>
    <row r="117" spans="1:37" x14ac:dyDescent="0.25">
      <c r="J117" s="128"/>
      <c r="N117" s="132"/>
    </row>
    <row r="118" spans="1:37" x14ac:dyDescent="0.25">
      <c r="J118" s="128"/>
      <c r="N118" s="132"/>
    </row>
    <row r="119" spans="1:37" x14ac:dyDescent="0.25">
      <c r="J119" s="128"/>
    </row>
    <row r="120" spans="1:37" x14ac:dyDescent="0.25">
      <c r="J120" s="128"/>
    </row>
    <row r="121" spans="1:37" s="125" customFormat="1" ht="18.75" x14ac:dyDescent="0.3">
      <c r="A121" s="124" t="s">
        <v>106</v>
      </c>
      <c r="J121" s="126"/>
    </row>
    <row r="123" spans="1:37" x14ac:dyDescent="0.25">
      <c r="A123" s="14" t="s">
        <v>49</v>
      </c>
      <c r="B123" t="s">
        <v>77</v>
      </c>
    </row>
    <row r="125" spans="1:37" x14ac:dyDescent="0.25">
      <c r="A125"/>
      <c r="B125" s="14" t="s">
        <v>78</v>
      </c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</row>
    <row r="126" spans="1:37" x14ac:dyDescent="0.25">
      <c r="A126"/>
      <c r="B126" t="s">
        <v>229</v>
      </c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 t="s">
        <v>230</v>
      </c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 t="s">
        <v>99</v>
      </c>
      <c r="AG126" t="s">
        <v>100</v>
      </c>
      <c r="AH126"/>
      <c r="AI126"/>
      <c r="AJ126"/>
      <c r="AK126"/>
    </row>
    <row r="127" spans="1:37" x14ac:dyDescent="0.25">
      <c r="A127"/>
      <c r="B127" t="s">
        <v>44</v>
      </c>
      <c r="C127"/>
      <c r="D127" t="s">
        <v>231</v>
      </c>
      <c r="E127" t="s">
        <v>45</v>
      </c>
      <c r="F127"/>
      <c r="G127" t="s">
        <v>232</v>
      </c>
      <c r="H127" t="s">
        <v>46</v>
      </c>
      <c r="I127"/>
      <c r="J127" t="s">
        <v>233</v>
      </c>
      <c r="K127" t="s">
        <v>26</v>
      </c>
      <c r="L127"/>
      <c r="M127" t="s">
        <v>234</v>
      </c>
      <c r="N127" t="s">
        <v>29</v>
      </c>
      <c r="O127"/>
      <c r="P127" t="s">
        <v>235</v>
      </c>
      <c r="Q127" t="s">
        <v>44</v>
      </c>
      <c r="R127"/>
      <c r="S127" t="s">
        <v>231</v>
      </c>
      <c r="T127" t="s">
        <v>45</v>
      </c>
      <c r="U127"/>
      <c r="V127" t="s">
        <v>232</v>
      </c>
      <c r="W127" t="s">
        <v>46</v>
      </c>
      <c r="X127"/>
      <c r="Y127" t="s">
        <v>233</v>
      </c>
      <c r="Z127" t="s">
        <v>26</v>
      </c>
      <c r="AA127"/>
      <c r="AB127" t="s">
        <v>234</v>
      </c>
      <c r="AC127" t="s">
        <v>29</v>
      </c>
      <c r="AD127"/>
      <c r="AE127" t="s">
        <v>235</v>
      </c>
      <c r="AF127"/>
      <c r="AG127"/>
      <c r="AH127"/>
      <c r="AI127"/>
      <c r="AJ127"/>
      <c r="AK127"/>
    </row>
    <row r="128" spans="1:37" x14ac:dyDescent="0.25">
      <c r="A128" s="14" t="s">
        <v>85</v>
      </c>
      <c r="B128" t="s">
        <v>12</v>
      </c>
      <c r="C128" t="s">
        <v>13</v>
      </c>
      <c r="D128"/>
      <c r="E128" t="s">
        <v>12</v>
      </c>
      <c r="F128" t="s">
        <v>13</v>
      </c>
      <c r="G128"/>
      <c r="H128" t="s">
        <v>12</v>
      </c>
      <c r="I128" t="s">
        <v>13</v>
      </c>
      <c r="J128"/>
      <c r="K128" t="s">
        <v>12</v>
      </c>
      <c r="L128" t="s">
        <v>13</v>
      </c>
      <c r="M128"/>
      <c r="N128" t="s">
        <v>12</v>
      </c>
      <c r="O128" t="s">
        <v>13</v>
      </c>
      <c r="P128"/>
      <c r="Q128" t="s">
        <v>12</v>
      </c>
      <c r="R128" t="s">
        <v>13</v>
      </c>
      <c r="S128"/>
      <c r="T128" t="s">
        <v>12</v>
      </c>
      <c r="U128" t="s">
        <v>13</v>
      </c>
      <c r="V128"/>
      <c r="W128" t="s">
        <v>12</v>
      </c>
      <c r="X128" t="s">
        <v>13</v>
      </c>
      <c r="Y128"/>
      <c r="Z128" t="s">
        <v>12</v>
      </c>
      <c r="AA128" t="s">
        <v>13</v>
      </c>
      <c r="AB128"/>
      <c r="AC128" t="s">
        <v>12</v>
      </c>
      <c r="AD128" t="s">
        <v>13</v>
      </c>
      <c r="AE128"/>
      <c r="AF128"/>
      <c r="AG128"/>
      <c r="AH128"/>
      <c r="AI128"/>
      <c r="AJ128"/>
      <c r="AK128"/>
    </row>
    <row r="129" spans="1:44" x14ac:dyDescent="0.25">
      <c r="A129" s="15" t="s">
        <v>236</v>
      </c>
      <c r="B129" s="16">
        <v>9</v>
      </c>
      <c r="C129" s="16">
        <v>3</v>
      </c>
      <c r="D129" s="16">
        <v>12</v>
      </c>
      <c r="E129" s="16">
        <v>24</v>
      </c>
      <c r="F129" s="16">
        <v>6</v>
      </c>
      <c r="G129" s="16">
        <v>30</v>
      </c>
      <c r="H129" s="16">
        <v>23</v>
      </c>
      <c r="I129" s="16">
        <v>6</v>
      </c>
      <c r="J129" s="16">
        <v>29</v>
      </c>
      <c r="K129" s="16">
        <v>5</v>
      </c>
      <c r="L129" s="16"/>
      <c r="M129" s="16">
        <v>5</v>
      </c>
      <c r="N129" s="16"/>
      <c r="O129" s="16">
        <v>1</v>
      </c>
      <c r="P129" s="16">
        <v>1</v>
      </c>
      <c r="Q129" s="62">
        <v>0.75</v>
      </c>
      <c r="R129" s="62">
        <v>0.25</v>
      </c>
      <c r="S129" s="63">
        <v>0.15584415584415584</v>
      </c>
      <c r="T129" s="62">
        <v>0.8</v>
      </c>
      <c r="U129" s="62">
        <v>0.2</v>
      </c>
      <c r="V129" s="63">
        <v>0.38961038961038963</v>
      </c>
      <c r="W129" s="62">
        <v>0.7931034482758621</v>
      </c>
      <c r="X129" s="62">
        <v>0.20689655172413793</v>
      </c>
      <c r="Y129" s="63">
        <v>0.37662337662337664</v>
      </c>
      <c r="Z129" s="62">
        <v>1</v>
      </c>
      <c r="AA129" s="62">
        <v>0</v>
      </c>
      <c r="AB129" s="63">
        <v>6.4935064935064929E-2</v>
      </c>
      <c r="AC129" s="62">
        <v>0</v>
      </c>
      <c r="AD129" s="62">
        <v>1</v>
      </c>
      <c r="AE129" s="63">
        <v>1.2987012987012988E-2</v>
      </c>
      <c r="AF129" s="16">
        <v>77</v>
      </c>
      <c r="AG129" s="63">
        <v>1</v>
      </c>
      <c r="AH129"/>
      <c r="AI129"/>
      <c r="AJ129"/>
      <c r="AK129"/>
      <c r="AR129" s="137"/>
    </row>
    <row r="130" spans="1:44" x14ac:dyDescent="0.25">
      <c r="A130" s="15" t="s">
        <v>237</v>
      </c>
      <c r="B130" s="16"/>
      <c r="C130" s="16"/>
      <c r="D130" s="16"/>
      <c r="E130" s="16">
        <v>1</v>
      </c>
      <c r="F130" s="16"/>
      <c r="G130" s="16">
        <v>1</v>
      </c>
      <c r="H130" s="16">
        <v>1</v>
      </c>
      <c r="I130" s="16"/>
      <c r="J130" s="16">
        <v>1</v>
      </c>
      <c r="K130" s="16">
        <v>3</v>
      </c>
      <c r="L130" s="16">
        <v>1</v>
      </c>
      <c r="M130" s="16">
        <v>4</v>
      </c>
      <c r="N130" s="16"/>
      <c r="O130" s="16"/>
      <c r="P130" s="16"/>
      <c r="Q130" s="62"/>
      <c r="R130" s="62"/>
      <c r="S130" s="63">
        <v>0</v>
      </c>
      <c r="T130" s="62">
        <v>1</v>
      </c>
      <c r="U130" s="62">
        <v>0</v>
      </c>
      <c r="V130" s="63">
        <v>0.16666666666666666</v>
      </c>
      <c r="W130" s="62">
        <v>1</v>
      </c>
      <c r="X130" s="62">
        <v>0</v>
      </c>
      <c r="Y130" s="63">
        <v>0.16666666666666666</v>
      </c>
      <c r="Z130" s="62">
        <v>0.75</v>
      </c>
      <c r="AA130" s="62">
        <v>0.25</v>
      </c>
      <c r="AB130" s="63">
        <v>0.66666666666666663</v>
      </c>
      <c r="AC130" s="62"/>
      <c r="AD130" s="62"/>
      <c r="AE130" s="63">
        <v>0</v>
      </c>
      <c r="AF130" s="16">
        <v>6</v>
      </c>
      <c r="AG130" s="63">
        <v>1</v>
      </c>
      <c r="AH130"/>
      <c r="AI130"/>
      <c r="AJ130"/>
      <c r="AK130"/>
      <c r="AR130" s="137"/>
    </row>
    <row r="131" spans="1:44" x14ac:dyDescent="0.25">
      <c r="A131" s="15" t="s">
        <v>238</v>
      </c>
      <c r="B131" s="16">
        <v>5</v>
      </c>
      <c r="C131" s="16">
        <v>2</v>
      </c>
      <c r="D131" s="16">
        <v>7</v>
      </c>
      <c r="E131" s="16">
        <v>11</v>
      </c>
      <c r="F131" s="16">
        <v>5</v>
      </c>
      <c r="G131" s="16">
        <v>16</v>
      </c>
      <c r="H131" s="16">
        <v>7</v>
      </c>
      <c r="I131" s="16">
        <v>4</v>
      </c>
      <c r="J131" s="16">
        <v>11</v>
      </c>
      <c r="K131" s="16">
        <v>3</v>
      </c>
      <c r="L131" s="16">
        <v>2</v>
      </c>
      <c r="M131" s="16">
        <v>5</v>
      </c>
      <c r="N131" s="16">
        <v>1</v>
      </c>
      <c r="O131" s="16"/>
      <c r="P131" s="16">
        <v>1</v>
      </c>
      <c r="Q131" s="62">
        <v>0.7142857142857143</v>
      </c>
      <c r="R131" s="62">
        <v>0.2857142857142857</v>
      </c>
      <c r="S131" s="63">
        <v>0.17499999999999999</v>
      </c>
      <c r="T131" s="62">
        <v>0.6875</v>
      </c>
      <c r="U131" s="62">
        <v>0.3125</v>
      </c>
      <c r="V131" s="63">
        <v>0.4</v>
      </c>
      <c r="W131" s="62">
        <v>0.63636363636363635</v>
      </c>
      <c r="X131" s="62">
        <v>0.36363636363636365</v>
      </c>
      <c r="Y131" s="63">
        <v>0.27500000000000002</v>
      </c>
      <c r="Z131" s="62">
        <v>0.6</v>
      </c>
      <c r="AA131" s="62">
        <v>0.4</v>
      </c>
      <c r="AB131" s="63">
        <v>0.125</v>
      </c>
      <c r="AC131" s="62">
        <v>1</v>
      </c>
      <c r="AD131" s="62">
        <v>0</v>
      </c>
      <c r="AE131" s="63">
        <v>2.5000000000000001E-2</v>
      </c>
      <c r="AF131" s="16">
        <v>40</v>
      </c>
      <c r="AG131" s="63">
        <v>1</v>
      </c>
      <c r="AH131"/>
      <c r="AI131"/>
      <c r="AJ131"/>
      <c r="AK131"/>
      <c r="AR131" s="137"/>
    </row>
    <row r="132" spans="1:44" x14ac:dyDescent="0.25">
      <c r="A132" s="15" t="s">
        <v>239</v>
      </c>
      <c r="B132" s="16">
        <v>1</v>
      </c>
      <c r="C132" s="16"/>
      <c r="D132" s="16">
        <v>1</v>
      </c>
      <c r="E132" s="16">
        <v>5</v>
      </c>
      <c r="F132" s="16">
        <v>1</v>
      </c>
      <c r="G132" s="16">
        <v>6</v>
      </c>
      <c r="H132" s="16">
        <v>9</v>
      </c>
      <c r="I132" s="16"/>
      <c r="J132" s="16">
        <v>9</v>
      </c>
      <c r="K132" s="16">
        <v>3</v>
      </c>
      <c r="L132" s="16"/>
      <c r="M132" s="16">
        <v>3</v>
      </c>
      <c r="N132" s="16"/>
      <c r="O132" s="16"/>
      <c r="P132" s="16"/>
      <c r="Q132" s="62">
        <v>1</v>
      </c>
      <c r="R132" s="62">
        <v>0</v>
      </c>
      <c r="S132" s="63">
        <v>5.2631578947368418E-2</v>
      </c>
      <c r="T132" s="62">
        <v>0.83333333333333337</v>
      </c>
      <c r="U132" s="62">
        <v>0.16666666666666666</v>
      </c>
      <c r="V132" s="63">
        <v>0.31578947368421051</v>
      </c>
      <c r="W132" s="62">
        <v>1</v>
      </c>
      <c r="X132" s="62">
        <v>0</v>
      </c>
      <c r="Y132" s="63">
        <v>0.47368421052631576</v>
      </c>
      <c r="Z132" s="62">
        <v>1</v>
      </c>
      <c r="AA132" s="62">
        <v>0</v>
      </c>
      <c r="AB132" s="63">
        <v>0.15789473684210525</v>
      </c>
      <c r="AC132" s="62"/>
      <c r="AD132" s="62"/>
      <c r="AE132" s="63">
        <v>0</v>
      </c>
      <c r="AF132" s="16">
        <v>19</v>
      </c>
      <c r="AG132" s="63">
        <v>1</v>
      </c>
      <c r="AH132"/>
      <c r="AI132"/>
      <c r="AJ132"/>
      <c r="AK132"/>
      <c r="AR132" s="137"/>
    </row>
    <row r="133" spans="1:44" x14ac:dyDescent="0.25">
      <c r="A133" s="15" t="s">
        <v>240</v>
      </c>
      <c r="B133" s="16"/>
      <c r="C133" s="16"/>
      <c r="D133" s="16"/>
      <c r="E133" s="16">
        <v>2</v>
      </c>
      <c r="F133" s="16">
        <v>1</v>
      </c>
      <c r="G133" s="16">
        <v>3</v>
      </c>
      <c r="H133" s="16">
        <v>5</v>
      </c>
      <c r="I133" s="16"/>
      <c r="J133" s="16">
        <v>5</v>
      </c>
      <c r="K133" s="16">
        <v>1</v>
      </c>
      <c r="L133" s="16"/>
      <c r="M133" s="16">
        <v>1</v>
      </c>
      <c r="N133" s="16"/>
      <c r="O133" s="16"/>
      <c r="P133" s="16"/>
      <c r="Q133" s="62"/>
      <c r="R133" s="62"/>
      <c r="S133" s="63">
        <v>0</v>
      </c>
      <c r="T133" s="62">
        <v>0.66666666666666663</v>
      </c>
      <c r="U133" s="62">
        <v>0.33333333333333331</v>
      </c>
      <c r="V133" s="63">
        <v>0.33333333333333331</v>
      </c>
      <c r="W133" s="62">
        <v>1</v>
      </c>
      <c r="X133" s="62">
        <v>0</v>
      </c>
      <c r="Y133" s="63">
        <v>0.55555555555555558</v>
      </c>
      <c r="Z133" s="62">
        <v>1</v>
      </c>
      <c r="AA133" s="62">
        <v>0</v>
      </c>
      <c r="AB133" s="63">
        <v>0.1111111111111111</v>
      </c>
      <c r="AC133" s="62"/>
      <c r="AD133" s="62"/>
      <c r="AE133" s="63">
        <v>0</v>
      </c>
      <c r="AF133" s="16">
        <v>9</v>
      </c>
      <c r="AG133" s="63">
        <v>1</v>
      </c>
      <c r="AH133"/>
      <c r="AI133"/>
      <c r="AJ133"/>
      <c r="AK133"/>
      <c r="AR133" s="137"/>
    </row>
    <row r="134" spans="1:44" x14ac:dyDescent="0.25">
      <c r="A134" s="15" t="s">
        <v>241</v>
      </c>
      <c r="B134" s="16">
        <v>2</v>
      </c>
      <c r="C134" s="16">
        <v>1</v>
      </c>
      <c r="D134" s="16">
        <v>3</v>
      </c>
      <c r="E134" s="16">
        <v>6</v>
      </c>
      <c r="F134" s="16">
        <v>3</v>
      </c>
      <c r="G134" s="16">
        <v>9</v>
      </c>
      <c r="H134" s="16">
        <v>3</v>
      </c>
      <c r="I134" s="16">
        <v>4</v>
      </c>
      <c r="J134" s="16">
        <v>7</v>
      </c>
      <c r="K134" s="16">
        <v>2</v>
      </c>
      <c r="L134" s="16">
        <v>1</v>
      </c>
      <c r="M134" s="16">
        <v>3</v>
      </c>
      <c r="N134" s="16"/>
      <c r="O134" s="16"/>
      <c r="P134" s="16"/>
      <c r="Q134" s="62">
        <v>0.66666666666666663</v>
      </c>
      <c r="R134" s="62">
        <v>0.33333333333333331</v>
      </c>
      <c r="S134" s="63">
        <v>0.13636363636363635</v>
      </c>
      <c r="T134" s="62">
        <v>0.66666666666666663</v>
      </c>
      <c r="U134" s="62">
        <v>0.33333333333333331</v>
      </c>
      <c r="V134" s="63">
        <v>0.40909090909090912</v>
      </c>
      <c r="W134" s="62">
        <v>0.42857142857142855</v>
      </c>
      <c r="X134" s="62">
        <v>0.5714285714285714</v>
      </c>
      <c r="Y134" s="63">
        <v>0.31818181818181818</v>
      </c>
      <c r="Z134" s="62">
        <v>0.66666666666666663</v>
      </c>
      <c r="AA134" s="62">
        <v>0.33333333333333331</v>
      </c>
      <c r="AB134" s="63">
        <v>0.13636363636363635</v>
      </c>
      <c r="AC134" s="62"/>
      <c r="AD134" s="62"/>
      <c r="AE134" s="63">
        <v>0</v>
      </c>
      <c r="AF134" s="16">
        <v>22</v>
      </c>
      <c r="AG134" s="63">
        <v>1</v>
      </c>
      <c r="AH134"/>
      <c r="AI134"/>
      <c r="AJ134"/>
      <c r="AK134"/>
      <c r="AR134" s="137"/>
    </row>
    <row r="135" spans="1:44" x14ac:dyDescent="0.25">
      <c r="A135" s="15" t="s">
        <v>242</v>
      </c>
      <c r="B135" s="16">
        <v>1</v>
      </c>
      <c r="C135" s="16"/>
      <c r="D135" s="16">
        <v>1</v>
      </c>
      <c r="E135" s="16">
        <v>2</v>
      </c>
      <c r="F135" s="16">
        <v>1</v>
      </c>
      <c r="G135" s="16">
        <v>3</v>
      </c>
      <c r="H135" s="16"/>
      <c r="I135" s="16">
        <v>2</v>
      </c>
      <c r="J135" s="16">
        <v>2</v>
      </c>
      <c r="K135" s="16">
        <v>3</v>
      </c>
      <c r="L135" s="16"/>
      <c r="M135" s="16">
        <v>3</v>
      </c>
      <c r="N135" s="16"/>
      <c r="O135" s="16"/>
      <c r="P135" s="16"/>
      <c r="Q135" s="62">
        <v>1</v>
      </c>
      <c r="R135" s="62">
        <v>0</v>
      </c>
      <c r="S135" s="63">
        <v>0.1111111111111111</v>
      </c>
      <c r="T135" s="62">
        <v>0.66666666666666663</v>
      </c>
      <c r="U135" s="62">
        <v>0.33333333333333331</v>
      </c>
      <c r="V135" s="63">
        <v>0.33333333333333331</v>
      </c>
      <c r="W135" s="62">
        <v>0</v>
      </c>
      <c r="X135" s="62">
        <v>1</v>
      </c>
      <c r="Y135" s="63">
        <v>0.22222222222222221</v>
      </c>
      <c r="Z135" s="62">
        <v>1</v>
      </c>
      <c r="AA135" s="62">
        <v>0</v>
      </c>
      <c r="AB135" s="63">
        <v>0.33333333333333331</v>
      </c>
      <c r="AC135" s="62"/>
      <c r="AD135" s="62"/>
      <c r="AE135" s="63">
        <v>0</v>
      </c>
      <c r="AF135" s="16">
        <v>9</v>
      </c>
      <c r="AG135" s="63">
        <v>1</v>
      </c>
      <c r="AH135"/>
      <c r="AI135"/>
      <c r="AJ135"/>
      <c r="AK135"/>
      <c r="AR135" s="137"/>
    </row>
    <row r="136" spans="1:44" x14ac:dyDescent="0.25">
      <c r="A136" s="15" t="s">
        <v>243</v>
      </c>
      <c r="B136" s="16"/>
      <c r="C136" s="16"/>
      <c r="D136" s="16"/>
      <c r="E136" s="16">
        <v>3</v>
      </c>
      <c r="F136" s="16"/>
      <c r="G136" s="16">
        <v>3</v>
      </c>
      <c r="H136" s="16">
        <v>6</v>
      </c>
      <c r="I136" s="16"/>
      <c r="J136" s="16">
        <v>6</v>
      </c>
      <c r="K136" s="16"/>
      <c r="L136" s="16"/>
      <c r="M136" s="16"/>
      <c r="N136" s="16"/>
      <c r="O136" s="16"/>
      <c r="P136" s="16"/>
      <c r="Q136" s="62"/>
      <c r="R136" s="62"/>
      <c r="S136" s="63">
        <v>0</v>
      </c>
      <c r="T136" s="62">
        <v>1</v>
      </c>
      <c r="U136" s="62">
        <v>0</v>
      </c>
      <c r="V136" s="63">
        <v>0.33333333333333331</v>
      </c>
      <c r="W136" s="62">
        <v>1</v>
      </c>
      <c r="X136" s="62">
        <v>0</v>
      </c>
      <c r="Y136" s="63">
        <v>0.66666666666666663</v>
      </c>
      <c r="Z136" s="62"/>
      <c r="AA136" s="62"/>
      <c r="AB136" s="63">
        <v>0</v>
      </c>
      <c r="AC136" s="62"/>
      <c r="AD136" s="62"/>
      <c r="AE136" s="63">
        <v>0</v>
      </c>
      <c r="AF136" s="16">
        <v>9</v>
      </c>
      <c r="AG136" s="63">
        <v>1</v>
      </c>
      <c r="AH136"/>
      <c r="AI136"/>
      <c r="AJ136"/>
      <c r="AK136"/>
      <c r="AR136" s="137"/>
    </row>
    <row r="137" spans="1:44" x14ac:dyDescent="0.25">
      <c r="A137" s="15" t="s">
        <v>244</v>
      </c>
      <c r="B137" s="16"/>
      <c r="C137" s="16"/>
      <c r="D137" s="16"/>
      <c r="E137" s="16">
        <v>1</v>
      </c>
      <c r="F137" s="16">
        <v>1</v>
      </c>
      <c r="G137" s="16">
        <v>2</v>
      </c>
      <c r="H137" s="16"/>
      <c r="I137" s="16">
        <v>3</v>
      </c>
      <c r="J137" s="16">
        <v>3</v>
      </c>
      <c r="K137" s="16">
        <v>3</v>
      </c>
      <c r="L137" s="16"/>
      <c r="M137" s="16">
        <v>3</v>
      </c>
      <c r="N137" s="16"/>
      <c r="O137" s="16"/>
      <c r="P137" s="16"/>
      <c r="Q137" s="62"/>
      <c r="R137" s="62"/>
      <c r="S137" s="63">
        <v>0</v>
      </c>
      <c r="T137" s="62">
        <v>0.5</v>
      </c>
      <c r="U137" s="62">
        <v>0.5</v>
      </c>
      <c r="V137" s="63">
        <v>0.25</v>
      </c>
      <c r="W137" s="62">
        <v>0</v>
      </c>
      <c r="X137" s="62">
        <v>1</v>
      </c>
      <c r="Y137" s="63">
        <v>0.375</v>
      </c>
      <c r="Z137" s="62">
        <v>1</v>
      </c>
      <c r="AA137" s="62">
        <v>0</v>
      </c>
      <c r="AB137" s="63">
        <v>0.375</v>
      </c>
      <c r="AC137" s="62"/>
      <c r="AD137" s="62"/>
      <c r="AE137" s="63">
        <v>0</v>
      </c>
      <c r="AF137" s="16">
        <v>8</v>
      </c>
      <c r="AG137" s="63">
        <v>1</v>
      </c>
      <c r="AH137"/>
      <c r="AI137"/>
      <c r="AJ137"/>
      <c r="AK137"/>
      <c r="AR137" s="137"/>
    </row>
    <row r="138" spans="1:44" x14ac:dyDescent="0.25">
      <c r="A138" s="15" t="s">
        <v>245</v>
      </c>
      <c r="B138" s="16">
        <v>4</v>
      </c>
      <c r="C138" s="16">
        <v>5</v>
      </c>
      <c r="D138" s="16">
        <v>9</v>
      </c>
      <c r="E138" s="16">
        <v>68</v>
      </c>
      <c r="F138" s="16">
        <v>32</v>
      </c>
      <c r="G138" s="16">
        <v>100</v>
      </c>
      <c r="H138" s="16">
        <v>28</v>
      </c>
      <c r="I138" s="16">
        <v>17</v>
      </c>
      <c r="J138" s="16">
        <v>45</v>
      </c>
      <c r="K138" s="16">
        <v>16</v>
      </c>
      <c r="L138" s="16">
        <v>3</v>
      </c>
      <c r="M138" s="16">
        <v>19</v>
      </c>
      <c r="N138" s="16">
        <v>4</v>
      </c>
      <c r="O138" s="16"/>
      <c r="P138" s="16">
        <v>4</v>
      </c>
      <c r="Q138" s="62">
        <v>0.44444444444444442</v>
      </c>
      <c r="R138" s="62">
        <v>0.55555555555555558</v>
      </c>
      <c r="S138" s="63">
        <v>5.0847457627118647E-2</v>
      </c>
      <c r="T138" s="62">
        <v>0.68</v>
      </c>
      <c r="U138" s="62">
        <v>0.32</v>
      </c>
      <c r="V138" s="63">
        <v>0.56497175141242939</v>
      </c>
      <c r="W138" s="62">
        <v>0.62222222222222223</v>
      </c>
      <c r="X138" s="62">
        <v>0.37777777777777777</v>
      </c>
      <c r="Y138" s="63">
        <v>0.25423728813559321</v>
      </c>
      <c r="Z138" s="62">
        <v>0.84210526315789469</v>
      </c>
      <c r="AA138" s="62">
        <v>0.15789473684210525</v>
      </c>
      <c r="AB138" s="63">
        <v>0.10734463276836158</v>
      </c>
      <c r="AC138" s="62">
        <v>1</v>
      </c>
      <c r="AD138" s="62">
        <v>0</v>
      </c>
      <c r="AE138" s="63">
        <v>2.2598870056497175E-2</v>
      </c>
      <c r="AF138" s="16">
        <v>177</v>
      </c>
      <c r="AG138" s="63">
        <v>1</v>
      </c>
      <c r="AH138"/>
      <c r="AI138"/>
      <c r="AJ138"/>
      <c r="AK138"/>
      <c r="AR138" s="137"/>
    </row>
    <row r="139" spans="1:44" x14ac:dyDescent="0.25">
      <c r="A139" s="34" t="s">
        <v>86</v>
      </c>
      <c r="B139" s="16">
        <v>22</v>
      </c>
      <c r="C139" s="16">
        <v>11</v>
      </c>
      <c r="D139" s="16">
        <v>33</v>
      </c>
      <c r="E139" s="16">
        <v>123</v>
      </c>
      <c r="F139" s="16">
        <v>50</v>
      </c>
      <c r="G139" s="16">
        <v>173</v>
      </c>
      <c r="H139" s="16">
        <v>82</v>
      </c>
      <c r="I139" s="16">
        <v>36</v>
      </c>
      <c r="J139" s="16">
        <v>118</v>
      </c>
      <c r="K139" s="16">
        <v>39</v>
      </c>
      <c r="L139" s="16">
        <v>7</v>
      </c>
      <c r="M139" s="16">
        <v>46</v>
      </c>
      <c r="N139" s="16">
        <v>5</v>
      </c>
      <c r="O139" s="16">
        <v>1</v>
      </c>
      <c r="P139" s="16">
        <v>6</v>
      </c>
      <c r="Q139" s="62">
        <v>0.66666666666666663</v>
      </c>
      <c r="R139" s="62">
        <v>0.33333333333333331</v>
      </c>
      <c r="S139" s="63">
        <v>8.7765957446808512E-2</v>
      </c>
      <c r="T139" s="62">
        <v>0.71098265895953761</v>
      </c>
      <c r="U139" s="62">
        <v>0.28901734104046245</v>
      </c>
      <c r="V139" s="63">
        <v>0.46010638297872342</v>
      </c>
      <c r="W139" s="62">
        <v>0.69491525423728817</v>
      </c>
      <c r="X139" s="62">
        <v>0.30508474576271188</v>
      </c>
      <c r="Y139" s="63">
        <v>0.31382978723404253</v>
      </c>
      <c r="Z139" s="62">
        <v>0.84782608695652173</v>
      </c>
      <c r="AA139" s="62">
        <v>0.15217391304347827</v>
      </c>
      <c r="AB139" s="63">
        <v>0.12234042553191489</v>
      </c>
      <c r="AC139" s="62">
        <v>0.83333333333333337</v>
      </c>
      <c r="AD139" s="62">
        <v>0.16666666666666666</v>
      </c>
      <c r="AE139" s="63">
        <v>1.5957446808510637E-2</v>
      </c>
      <c r="AF139" s="16">
        <v>376</v>
      </c>
      <c r="AG139" s="63">
        <v>1</v>
      </c>
      <c r="AH139"/>
      <c r="AI139"/>
      <c r="AJ139"/>
      <c r="AK139"/>
      <c r="AR139" s="137"/>
    </row>
    <row r="140" spans="1:44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R140" s="137"/>
    </row>
    <row r="141" spans="1:44" x14ac:dyDescent="0.25">
      <c r="A141" s="132"/>
      <c r="B141" s="131"/>
      <c r="C141" s="131"/>
      <c r="D141" s="131"/>
      <c r="E141" s="131"/>
      <c r="F141" s="131"/>
      <c r="G141" s="131"/>
      <c r="H141" s="131"/>
      <c r="I141" s="131"/>
      <c r="J141" s="131"/>
      <c r="K141" s="131"/>
      <c r="L141" s="131"/>
      <c r="M141" s="133"/>
      <c r="N141" s="133"/>
      <c r="O141" s="135"/>
      <c r="P141" s="133"/>
      <c r="Q141" s="135"/>
      <c r="R141" s="133"/>
      <c r="S141" s="135"/>
      <c r="T141" s="133"/>
      <c r="U141" s="135"/>
      <c r="V141" s="133"/>
      <c r="W141" s="135"/>
      <c r="X141" s="131"/>
      <c r="Y141" s="135"/>
      <c r="AR141" s="137"/>
    </row>
    <row r="142" spans="1:44" x14ac:dyDescent="0.25">
      <c r="A142" s="132"/>
      <c r="B142" s="131"/>
      <c r="C142" s="131"/>
      <c r="D142" s="131"/>
      <c r="E142" s="131"/>
      <c r="F142" s="131"/>
      <c r="G142" s="131"/>
      <c r="H142" s="131"/>
      <c r="I142" s="131"/>
      <c r="J142" s="131"/>
      <c r="K142" s="131"/>
      <c r="L142" s="131"/>
      <c r="M142" s="133"/>
      <c r="N142" s="133"/>
      <c r="O142" s="135"/>
      <c r="P142" s="133"/>
      <c r="Q142" s="135"/>
      <c r="R142" s="133"/>
      <c r="S142" s="135"/>
      <c r="T142" s="133"/>
      <c r="U142" s="135"/>
      <c r="V142" s="133"/>
      <c r="W142" s="135"/>
      <c r="X142" s="131"/>
      <c r="Y142" s="135"/>
      <c r="AR142" s="137"/>
    </row>
    <row r="143" spans="1:44" x14ac:dyDescent="0.25">
      <c r="J143" s="128"/>
    </row>
    <row r="144" spans="1:44" s="125" customFormat="1" ht="18.75" x14ac:dyDescent="0.3">
      <c r="A144" s="124" t="s">
        <v>107</v>
      </c>
      <c r="J144" s="126"/>
    </row>
    <row r="146" spans="1:55" x14ac:dyDescent="0.25">
      <c r="A146" s="14" t="s">
        <v>49</v>
      </c>
      <c r="B146" t="s">
        <v>77</v>
      </c>
    </row>
    <row r="148" spans="1:55" x14ac:dyDescent="0.25">
      <c r="A148"/>
      <c r="B148" s="14" t="s">
        <v>78</v>
      </c>
      <c r="C148"/>
      <c r="D148"/>
      <c r="E148"/>
      <c r="F148"/>
      <c r="G148"/>
      <c r="H148"/>
      <c r="I148"/>
      <c r="J148" s="128"/>
    </row>
    <row r="149" spans="1:55" x14ac:dyDescent="0.25">
      <c r="A149"/>
      <c r="B149" t="s">
        <v>229</v>
      </c>
      <c r="C149"/>
      <c r="D149" t="s">
        <v>230</v>
      </c>
      <c r="E149"/>
      <c r="F149" t="s">
        <v>99</v>
      </c>
      <c r="G149" t="s">
        <v>100</v>
      </c>
      <c r="H149"/>
      <c r="I149"/>
      <c r="J149" s="128"/>
    </row>
    <row r="150" spans="1:55" x14ac:dyDescent="0.25">
      <c r="A150" s="14" t="s">
        <v>85</v>
      </c>
      <c r="B150" t="s">
        <v>12</v>
      </c>
      <c r="C150" t="s">
        <v>13</v>
      </c>
      <c r="D150" t="s">
        <v>12</v>
      </c>
      <c r="E150" t="s">
        <v>13</v>
      </c>
      <c r="F150"/>
      <c r="G150"/>
      <c r="H150"/>
      <c r="I150"/>
      <c r="J150" s="128"/>
    </row>
    <row r="151" spans="1:55" x14ac:dyDescent="0.25">
      <c r="A151" s="15" t="s">
        <v>236</v>
      </c>
      <c r="B151" s="16">
        <v>61</v>
      </c>
      <c r="C151" s="16">
        <v>16</v>
      </c>
      <c r="D151" s="62">
        <v>0.79220779220779225</v>
      </c>
      <c r="E151" s="62">
        <v>0.20779220779220781</v>
      </c>
      <c r="F151" s="16">
        <v>77</v>
      </c>
      <c r="G151" s="63">
        <v>1</v>
      </c>
      <c r="H151"/>
      <c r="I151"/>
      <c r="J151" s="128"/>
      <c r="AH151" s="127"/>
      <c r="AI151" s="127"/>
      <c r="AJ151" s="127"/>
      <c r="AK151" s="127"/>
      <c r="AL151" s="127"/>
      <c r="AM151" s="127"/>
      <c r="AN151" s="127"/>
      <c r="AO151" s="127"/>
      <c r="AP151" s="127"/>
      <c r="AQ151" s="127"/>
      <c r="AR151" s="127"/>
      <c r="AS151" s="127"/>
      <c r="AT151" s="127"/>
      <c r="AU151" s="127"/>
      <c r="AV151" s="127"/>
      <c r="AW151" s="127"/>
      <c r="AX151" s="127"/>
      <c r="AY151" s="127"/>
      <c r="AZ151" s="127"/>
      <c r="BA151" s="127"/>
      <c r="BB151" s="127"/>
      <c r="BC151" s="127"/>
    </row>
    <row r="152" spans="1:55" x14ac:dyDescent="0.25">
      <c r="A152" s="15" t="s">
        <v>237</v>
      </c>
      <c r="B152" s="16">
        <v>5</v>
      </c>
      <c r="C152" s="16">
        <v>1</v>
      </c>
      <c r="D152" s="62">
        <v>0.83333333333333337</v>
      </c>
      <c r="E152" s="62">
        <v>0.16666666666666666</v>
      </c>
      <c r="F152" s="16">
        <v>6</v>
      </c>
      <c r="G152" s="63">
        <v>1</v>
      </c>
      <c r="H152"/>
      <c r="I152"/>
      <c r="J152" s="128"/>
    </row>
    <row r="153" spans="1:55" x14ac:dyDescent="0.25">
      <c r="A153" s="15" t="s">
        <v>238</v>
      </c>
      <c r="B153" s="16">
        <v>27</v>
      </c>
      <c r="C153" s="16">
        <v>13</v>
      </c>
      <c r="D153" s="62">
        <v>0.67500000000000004</v>
      </c>
      <c r="E153" s="62">
        <v>0.32500000000000001</v>
      </c>
      <c r="F153" s="16">
        <v>40</v>
      </c>
      <c r="G153" s="63">
        <v>1</v>
      </c>
      <c r="H153"/>
      <c r="I153"/>
      <c r="J153" s="128"/>
    </row>
    <row r="154" spans="1:55" x14ac:dyDescent="0.25">
      <c r="A154" s="15" t="s">
        <v>239</v>
      </c>
      <c r="B154" s="16">
        <v>18</v>
      </c>
      <c r="C154" s="16">
        <v>1</v>
      </c>
      <c r="D154" s="62">
        <v>0.94736842105263153</v>
      </c>
      <c r="E154" s="62">
        <v>5.2631578947368418E-2</v>
      </c>
      <c r="F154" s="16">
        <v>19</v>
      </c>
      <c r="G154" s="63">
        <v>1</v>
      </c>
      <c r="H154"/>
      <c r="I154"/>
      <c r="J154" s="128"/>
    </row>
    <row r="155" spans="1:55" x14ac:dyDescent="0.25">
      <c r="A155" s="15" t="s">
        <v>240</v>
      </c>
      <c r="B155" s="16">
        <v>8</v>
      </c>
      <c r="C155" s="16">
        <v>1</v>
      </c>
      <c r="D155" s="62">
        <v>0.88888888888888884</v>
      </c>
      <c r="E155" s="62">
        <v>0.1111111111111111</v>
      </c>
      <c r="F155" s="16">
        <v>9</v>
      </c>
      <c r="G155" s="63">
        <v>1</v>
      </c>
      <c r="H155"/>
      <c r="I155"/>
      <c r="J155" s="128"/>
    </row>
    <row r="156" spans="1:55" x14ac:dyDescent="0.25">
      <c r="A156" s="15" t="s">
        <v>241</v>
      </c>
      <c r="B156" s="16">
        <v>13</v>
      </c>
      <c r="C156" s="16">
        <v>9</v>
      </c>
      <c r="D156" s="62">
        <v>0.59090909090909094</v>
      </c>
      <c r="E156" s="62">
        <v>0.40909090909090912</v>
      </c>
      <c r="F156" s="16">
        <v>22</v>
      </c>
      <c r="G156" s="63">
        <v>1</v>
      </c>
      <c r="H156"/>
      <c r="I156"/>
      <c r="J156" s="128"/>
    </row>
    <row r="157" spans="1:55" x14ac:dyDescent="0.25">
      <c r="A157" s="15" t="s">
        <v>242</v>
      </c>
      <c r="B157" s="16">
        <v>6</v>
      </c>
      <c r="C157" s="16">
        <v>3</v>
      </c>
      <c r="D157" s="62">
        <v>0.66666666666666663</v>
      </c>
      <c r="E157" s="62">
        <v>0.33333333333333331</v>
      </c>
      <c r="F157" s="16">
        <v>9</v>
      </c>
      <c r="G157" s="63">
        <v>1</v>
      </c>
      <c r="H157"/>
      <c r="I157"/>
      <c r="J157" s="128"/>
    </row>
    <row r="158" spans="1:55" x14ac:dyDescent="0.25">
      <c r="A158" s="15" t="s">
        <v>243</v>
      </c>
      <c r="B158" s="16">
        <v>9</v>
      </c>
      <c r="C158" s="16"/>
      <c r="D158" s="62">
        <v>1</v>
      </c>
      <c r="E158" s="62">
        <v>0</v>
      </c>
      <c r="F158" s="16">
        <v>9</v>
      </c>
      <c r="G158" s="63">
        <v>1</v>
      </c>
      <c r="H158"/>
      <c r="I158"/>
      <c r="J158" s="128"/>
    </row>
    <row r="159" spans="1:55" x14ac:dyDescent="0.25">
      <c r="A159" s="15" t="s">
        <v>244</v>
      </c>
      <c r="B159" s="16">
        <v>4</v>
      </c>
      <c r="C159" s="16">
        <v>4</v>
      </c>
      <c r="D159" s="62">
        <v>0.5</v>
      </c>
      <c r="E159" s="62">
        <v>0.5</v>
      </c>
      <c r="F159" s="16">
        <v>8</v>
      </c>
      <c r="G159" s="63">
        <v>1</v>
      </c>
      <c r="H159"/>
      <c r="I159"/>
      <c r="J159" s="128"/>
    </row>
    <row r="160" spans="1:55" x14ac:dyDescent="0.25">
      <c r="A160" s="15" t="s">
        <v>245</v>
      </c>
      <c r="B160" s="16">
        <v>120</v>
      </c>
      <c r="C160" s="16">
        <v>57</v>
      </c>
      <c r="D160" s="62">
        <v>0.67796610169491522</v>
      </c>
      <c r="E160" s="62">
        <v>0.32203389830508472</v>
      </c>
      <c r="F160" s="16">
        <v>177</v>
      </c>
      <c r="G160" s="63">
        <v>1</v>
      </c>
      <c r="H160"/>
      <c r="I160"/>
      <c r="J160" s="128"/>
    </row>
    <row r="161" spans="1:10" x14ac:dyDescent="0.25">
      <c r="A161" s="34" t="s">
        <v>86</v>
      </c>
      <c r="B161" s="16">
        <v>271</v>
      </c>
      <c r="C161" s="16">
        <v>105</v>
      </c>
      <c r="D161" s="62">
        <v>0.7207446808510638</v>
      </c>
      <c r="E161" s="62">
        <v>0.27925531914893614</v>
      </c>
      <c r="F161" s="16">
        <v>376</v>
      </c>
      <c r="G161" s="63">
        <v>1</v>
      </c>
      <c r="H161"/>
      <c r="I161"/>
      <c r="J161" s="128"/>
    </row>
    <row r="162" spans="1:10" x14ac:dyDescent="0.25">
      <c r="A162"/>
      <c r="B162"/>
      <c r="C162"/>
      <c r="D162"/>
      <c r="E162"/>
      <c r="F162"/>
      <c r="G162"/>
      <c r="H162"/>
      <c r="I162"/>
      <c r="J162" s="128"/>
    </row>
    <row r="163" spans="1:10" x14ac:dyDescent="0.25">
      <c r="J163" s="128"/>
    </row>
  </sheetData>
  <mergeCells count="1">
    <mergeCell ref="A56:I60"/>
  </mergeCells>
  <pageMargins left="0.7" right="0.7" top="0.75" bottom="0.75" header="0.3" footer="0.3"/>
  <pageSetup orientation="portrait" r:id="rId1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Y35"/>
  <sheetViews>
    <sheetView tabSelected="1" workbookViewId="0">
      <selection activeCell="H6" sqref="H6"/>
    </sheetView>
  </sheetViews>
  <sheetFormatPr defaultColWidth="28.42578125" defaultRowHeight="15" x14ac:dyDescent="0.25"/>
  <cols>
    <col min="1" max="1" width="9.140625" bestFit="1" customWidth="1"/>
    <col min="2" max="2" width="6.140625" bestFit="1" customWidth="1"/>
    <col min="3" max="3" width="3.7109375" bestFit="1" customWidth="1"/>
    <col min="4" max="4" width="21.42578125" bestFit="1" customWidth="1"/>
    <col min="5" max="5" width="7.85546875" bestFit="1" customWidth="1"/>
    <col min="6" max="6" width="13.140625" style="5" bestFit="1" customWidth="1"/>
    <col min="7" max="7" width="9.28515625" style="5" bestFit="1" customWidth="1"/>
    <col min="8" max="8" width="9.7109375" style="5" bestFit="1" customWidth="1"/>
    <col min="9" max="9" width="17.140625" bestFit="1" customWidth="1"/>
    <col min="10" max="10" width="5.7109375" bestFit="1" customWidth="1"/>
    <col min="11" max="11" width="21.42578125" bestFit="1" customWidth="1"/>
  </cols>
  <sheetData>
    <row r="1" spans="1:25" x14ac:dyDescent="0.25">
      <c r="A1" s="183" t="s">
        <v>108</v>
      </c>
      <c r="B1" s="183"/>
      <c r="C1" s="183"/>
      <c r="D1" s="112"/>
      <c r="F1"/>
      <c r="I1" s="5"/>
    </row>
    <row r="2" spans="1:25" x14ac:dyDescent="0.25">
      <c r="A2" s="3" t="s">
        <v>56</v>
      </c>
      <c r="B2" s="3" t="s">
        <v>109</v>
      </c>
      <c r="C2" s="3" t="s">
        <v>110</v>
      </c>
      <c r="D2" s="12" t="s">
        <v>111</v>
      </c>
      <c r="F2" s="10" t="s">
        <v>112</v>
      </c>
      <c r="G2" s="22" t="s">
        <v>9</v>
      </c>
      <c r="H2" s="11" t="s">
        <v>58</v>
      </c>
      <c r="I2" s="11" t="s">
        <v>10</v>
      </c>
      <c r="J2" s="11" t="s">
        <v>113</v>
      </c>
      <c r="K2" s="12" t="s">
        <v>111</v>
      </c>
    </row>
    <row r="3" spans="1:25" s="21" customFormat="1" x14ac:dyDescent="0.25">
      <c r="A3" s="18">
        <v>0.5</v>
      </c>
      <c r="B3" s="18">
        <v>0.5</v>
      </c>
      <c r="C3" s="19">
        <f t="shared" ref="C3:C11" si="0">G3</f>
        <v>7</v>
      </c>
      <c r="D3" s="20" t="str">
        <f>K3</f>
        <v>7 for 7, 6 yrds (14%)</v>
      </c>
      <c r="E3" s="20"/>
      <c r="F3" s="20" t="s">
        <v>114</v>
      </c>
      <c r="G3" s="19">
        <f>GETPIVOTDATA("Attempted",Refresh!$A$9,"Direction","L","Pass Zone","S")</f>
        <v>7</v>
      </c>
      <c r="H3" s="19">
        <f>GETPIVOTDATA("Completed",Refresh!$A$9,"Direction","L","Pass Zone","S")</f>
        <v>7</v>
      </c>
      <c r="I3" s="19">
        <f>GETPIVOTDATA("Yards",Refresh!$A$9,"Direction","L","Pass Zone","S")</f>
        <v>6</v>
      </c>
      <c r="J3" s="24">
        <f t="shared" ref="J3:J11" si="1">IFERROR(G3/$G$12,0)</f>
        <v>0.14285714285714285</v>
      </c>
      <c r="K3" s="20" t="str">
        <f>TEXT(H3,"##0")&amp;" for "&amp;TEXT(G3,"##0")&amp;", "&amp;TEXT(I3,"##0")&amp;" yrds"&amp;" ("&amp;TEXT(J3,"##0%")&amp;")"</f>
        <v>7 for 7, 6 yrds (14%)</v>
      </c>
    </row>
    <row r="4" spans="1:25" s="21" customFormat="1" x14ac:dyDescent="0.25">
      <c r="A4" s="18">
        <v>0.5</v>
      </c>
      <c r="B4" s="18">
        <v>1.5</v>
      </c>
      <c r="C4" s="19">
        <f t="shared" si="0"/>
        <v>2</v>
      </c>
      <c r="D4" s="20" t="str">
        <f t="shared" ref="D4:D11" si="2">K4</f>
        <v>2 for 2, 16 yrds (4%)</v>
      </c>
      <c r="E4" s="20"/>
      <c r="F4" s="20" t="s">
        <v>115</v>
      </c>
      <c r="G4" s="19">
        <f>GETPIVOTDATA("Attempted",Refresh!$A$9,"Direction","L","Pass Zone","M")</f>
        <v>2</v>
      </c>
      <c r="H4" s="19">
        <f>GETPIVOTDATA("Completed",Refresh!$A$9,"Direction","L","Pass Zone","M")</f>
        <v>2</v>
      </c>
      <c r="I4" s="19">
        <f>GETPIVOTDATA("Yards",Refresh!$A$9,"Direction","L","Pass Zone","M")</f>
        <v>16</v>
      </c>
      <c r="J4" s="24">
        <f t="shared" si="1"/>
        <v>4.0816326530612242E-2</v>
      </c>
      <c r="K4" s="20" t="str">
        <f t="shared" ref="K4:K11" si="3">TEXT(H4,"##0")&amp;" for "&amp;TEXT(G4,"##0")&amp;", "&amp;TEXT(I4,"##0")&amp;" yrds"&amp;" ("&amp;TEXT(J4,"##0%")&amp;")"</f>
        <v>2 for 2, 16 yrds (4%)</v>
      </c>
    </row>
    <row r="5" spans="1:25" s="21" customFormat="1" ht="30" x14ac:dyDescent="0.25">
      <c r="A5" s="18">
        <v>0.5</v>
      </c>
      <c r="B5" s="18">
        <v>2.5</v>
      </c>
      <c r="C5" s="19">
        <f t="shared" si="0"/>
        <v>5</v>
      </c>
      <c r="D5" s="20" t="str">
        <f t="shared" si="2"/>
        <v>5 for 5, 112 yrds (10%)</v>
      </c>
      <c r="E5" s="20"/>
      <c r="F5" s="20" t="s">
        <v>116</v>
      </c>
      <c r="G5" s="19">
        <f>GETPIVOTDATA("Attempted",Refresh!$A$9,"Direction","L","Pass Zone","D")</f>
        <v>5</v>
      </c>
      <c r="H5" s="19">
        <f>GETPIVOTDATA("Completed",Refresh!$A$9,"Direction","L","Pass Zone","D")</f>
        <v>5</v>
      </c>
      <c r="I5" s="19">
        <f>GETPIVOTDATA("Yards",Refresh!$A$9,"Direction","L","Pass Zone","D")</f>
        <v>112</v>
      </c>
      <c r="J5" s="24">
        <f t="shared" si="1"/>
        <v>0.10204081632653061</v>
      </c>
      <c r="K5" s="20" t="str">
        <f t="shared" si="3"/>
        <v>5 for 5, 112 yrds (10%)</v>
      </c>
    </row>
    <row r="6" spans="1:25" s="21" customFormat="1" x14ac:dyDescent="0.25">
      <c r="A6" s="18">
        <v>1.5</v>
      </c>
      <c r="B6" s="18">
        <v>0.5</v>
      </c>
      <c r="C6" s="19">
        <f t="shared" si="0"/>
        <v>20</v>
      </c>
      <c r="D6" s="20" t="str">
        <f t="shared" si="2"/>
        <v>0 for 20, -114 yrds (41%)</v>
      </c>
      <c r="E6" s="20"/>
      <c r="F6" s="20" t="s">
        <v>117</v>
      </c>
      <c r="G6" s="19">
        <f>GETPIVOTDATA("Attempted",Refresh!$A$9,"Direction","M","Pass Zone","S")</f>
        <v>20</v>
      </c>
      <c r="H6" s="19">
        <f>GETPIVOTDATA("Completed",Refresh!$A$9,"Direction","M","Pass Zone","S")</f>
        <v>0</v>
      </c>
      <c r="I6" s="19">
        <f>GETPIVOTDATA("Yards",Refresh!$A$9,"Direction","M","Pass Zone","S")</f>
        <v>-114</v>
      </c>
      <c r="J6" s="24">
        <f t="shared" si="1"/>
        <v>0.40816326530612246</v>
      </c>
      <c r="K6" s="20" t="str">
        <f t="shared" si="3"/>
        <v>0 for 20, -114 yrds (41%)</v>
      </c>
    </row>
    <row r="7" spans="1:25" s="21" customFormat="1" x14ac:dyDescent="0.25">
      <c r="A7" s="18">
        <v>1.5</v>
      </c>
      <c r="B7" s="18">
        <v>1.5</v>
      </c>
      <c r="C7" s="19">
        <f t="shared" si="0"/>
        <v>0</v>
      </c>
      <c r="D7" s="20" t="str">
        <f t="shared" si="2"/>
        <v>0 for 0, 0 yrds (0%)</v>
      </c>
      <c r="E7" s="20"/>
      <c r="F7" s="20" t="s">
        <v>118</v>
      </c>
      <c r="G7" s="19">
        <f>GETPIVOTDATA("Attempted",Refresh!$A$9,"Direction","M","Pass Zone","M")</f>
        <v>0</v>
      </c>
      <c r="H7" s="19">
        <f>GETPIVOTDATA("Completed",Refresh!$A$9,"Direction","M","Pass Zone","M")</f>
        <v>0</v>
      </c>
      <c r="I7" s="19">
        <f>GETPIVOTDATA("Yards",Refresh!$A$9,"Direction","M","Pass Zone","M")</f>
        <v>0</v>
      </c>
      <c r="J7" s="24">
        <f t="shared" si="1"/>
        <v>0</v>
      </c>
      <c r="K7" s="20" t="str">
        <f t="shared" si="3"/>
        <v>0 for 0, 0 yrds (0%)</v>
      </c>
    </row>
    <row r="8" spans="1:25" s="21" customFormat="1" x14ac:dyDescent="0.25">
      <c r="A8" s="18">
        <v>1.5</v>
      </c>
      <c r="B8" s="18">
        <v>2.5</v>
      </c>
      <c r="C8" s="19">
        <f t="shared" si="0"/>
        <v>0</v>
      </c>
      <c r="D8" s="20" t="str">
        <f t="shared" si="2"/>
        <v>0 for 0, 0 yrds (0%)</v>
      </c>
      <c r="E8" s="20"/>
      <c r="F8" s="20" t="s">
        <v>119</v>
      </c>
      <c r="G8" s="19">
        <f>GETPIVOTDATA("Attempted",Refresh!$A$9,"Direction","M","Pass Zone","D")</f>
        <v>0</v>
      </c>
      <c r="H8" s="19">
        <f>GETPIVOTDATA("Completed",Refresh!$A$9,"Direction","M","Pass Zone","D")</f>
        <v>0</v>
      </c>
      <c r="I8" s="19">
        <f>GETPIVOTDATA("Yards",Refresh!$A$9,"Direction","M","Pass Zone","D")</f>
        <v>0</v>
      </c>
      <c r="J8" s="24">
        <f t="shared" si="1"/>
        <v>0</v>
      </c>
      <c r="K8" s="20" t="str">
        <f t="shared" si="3"/>
        <v>0 for 0, 0 yrds (0%)</v>
      </c>
    </row>
    <row r="9" spans="1:25" s="21" customFormat="1" x14ac:dyDescent="0.25">
      <c r="A9" s="18">
        <v>2.5</v>
      </c>
      <c r="B9" s="18">
        <v>0.5</v>
      </c>
      <c r="C9" s="19">
        <f t="shared" si="0"/>
        <v>3</v>
      </c>
      <c r="D9" s="20" t="str">
        <f t="shared" si="2"/>
        <v>3 for 3, 14 yrds (6%)</v>
      </c>
      <c r="E9" s="20"/>
      <c r="F9" s="20" t="s">
        <v>120</v>
      </c>
      <c r="G9" s="19">
        <f>GETPIVOTDATA("Attempted",Refresh!$A$9,"Direction","R","Pass Zone","S")</f>
        <v>3</v>
      </c>
      <c r="H9" s="19">
        <f>GETPIVOTDATA("Completed",Refresh!$A$9,"Direction","R","Pass Zone","S")</f>
        <v>3</v>
      </c>
      <c r="I9" s="19">
        <f>GETPIVOTDATA("Yards",Refresh!$A$9,"Direction","R","Pass Zone","S")</f>
        <v>14</v>
      </c>
      <c r="J9" s="24">
        <f t="shared" si="1"/>
        <v>6.1224489795918366E-2</v>
      </c>
      <c r="K9" s="20" t="str">
        <f t="shared" si="3"/>
        <v>3 for 3, 14 yrds (6%)</v>
      </c>
    </row>
    <row r="10" spans="1:25" s="21" customFormat="1" x14ac:dyDescent="0.25">
      <c r="A10" s="18">
        <v>2.5</v>
      </c>
      <c r="B10" s="18">
        <v>1.5</v>
      </c>
      <c r="C10" s="19">
        <f t="shared" si="0"/>
        <v>5</v>
      </c>
      <c r="D10" s="20" t="str">
        <f t="shared" si="2"/>
        <v>5 for 5, 48 yrds (10%)</v>
      </c>
      <c r="E10" s="20"/>
      <c r="F10" s="20" t="s">
        <v>121</v>
      </c>
      <c r="G10" s="19">
        <f>GETPIVOTDATA("Attempted",Refresh!$A$9,"Direction","R","Pass Zone","M")</f>
        <v>5</v>
      </c>
      <c r="H10" s="19">
        <f>GETPIVOTDATA("Completed",Refresh!$A$9,"Direction","R","Pass Zone","M")</f>
        <v>5</v>
      </c>
      <c r="I10" s="19">
        <f>GETPIVOTDATA("Yards",Refresh!$A$9,"Direction","R","Pass Zone","M")</f>
        <v>48</v>
      </c>
      <c r="J10" s="24">
        <f t="shared" si="1"/>
        <v>0.10204081632653061</v>
      </c>
      <c r="K10" s="20" t="str">
        <f t="shared" si="3"/>
        <v>5 for 5, 48 yrds (10%)</v>
      </c>
    </row>
    <row r="11" spans="1:25" s="21" customFormat="1" x14ac:dyDescent="0.25">
      <c r="A11" s="18">
        <v>2.5</v>
      </c>
      <c r="B11" s="18">
        <v>2.5</v>
      </c>
      <c r="C11" s="19">
        <f t="shared" si="0"/>
        <v>7</v>
      </c>
      <c r="D11" s="20" t="str">
        <f t="shared" si="2"/>
        <v>7 for 7, 156 yrds (14%)</v>
      </c>
      <c r="E11" s="20"/>
      <c r="F11" s="20" t="s">
        <v>122</v>
      </c>
      <c r="G11" s="19">
        <f>GETPIVOTDATA("Attempted",Refresh!$A$9,"Direction","R","Pass Zone","D")</f>
        <v>7</v>
      </c>
      <c r="H11" s="19">
        <f>GETPIVOTDATA("Completed",Refresh!$A$9,"Direction","R","Pass Zone","D")</f>
        <v>7</v>
      </c>
      <c r="I11" s="19">
        <f>GETPIVOTDATA("Yards",Refresh!$A$9,"Direction","R","Pass Zone","D")</f>
        <v>156</v>
      </c>
      <c r="J11" s="24">
        <f t="shared" si="1"/>
        <v>0.14285714285714285</v>
      </c>
      <c r="K11" s="20" t="str">
        <f t="shared" si="3"/>
        <v>7 for 7, 156 yrds (14%)</v>
      </c>
    </row>
    <row r="12" spans="1:25" s="21" customFormat="1" x14ac:dyDescent="0.25">
      <c r="A12" s="18"/>
      <c r="B12" s="18"/>
      <c r="C12" s="19"/>
      <c r="D12" s="19"/>
      <c r="E12" s="20"/>
      <c r="F12" s="20"/>
      <c r="G12" s="19">
        <f>SUM(G3:G11)</f>
        <v>49</v>
      </c>
      <c r="H12" s="19">
        <f>SUM(H3:H11)</f>
        <v>29</v>
      </c>
      <c r="I12" s="19">
        <f>SUM(I3:I11)</f>
        <v>238</v>
      </c>
      <c r="J12" s="19"/>
      <c r="K12" s="20"/>
    </row>
    <row r="13" spans="1:25" x14ac:dyDescent="0.25">
      <c r="F13"/>
      <c r="I13" s="5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</row>
    <row r="14" spans="1:25" x14ac:dyDescent="0.25">
      <c r="A14" s="10" t="s">
        <v>56</v>
      </c>
      <c r="B14" s="22" t="s">
        <v>57</v>
      </c>
      <c r="C14" s="11" t="s">
        <v>110</v>
      </c>
      <c r="E14" s="10" t="s">
        <v>57</v>
      </c>
      <c r="F14" s="22" t="s">
        <v>9</v>
      </c>
      <c r="G14" s="11" t="s">
        <v>10</v>
      </c>
      <c r="H14" s="5" t="s">
        <v>113</v>
      </c>
      <c r="I14" s="12" t="s">
        <v>111</v>
      </c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</row>
    <row r="15" spans="1:25" x14ac:dyDescent="0.25">
      <c r="A15" t="s">
        <v>1</v>
      </c>
      <c r="B15" s="25" t="s">
        <v>123</v>
      </c>
      <c r="C15">
        <f t="shared" ref="C15:C20" si="4">F15</f>
        <v>4</v>
      </c>
      <c r="E15" s="20" t="s">
        <v>124</v>
      </c>
      <c r="F15" s="19">
        <f>GETPIVOTDATA("Rush Attempts",Refresh!$A$25,"Direction","L","Gap","C")</f>
        <v>4</v>
      </c>
      <c r="G15" s="19">
        <f>GETPIVOTDATA("Yards",Refresh!$A$25,"Direction","L","Gap","C")</f>
        <v>46</v>
      </c>
      <c r="H15" s="24">
        <f t="shared" ref="H15:H20" si="5">IFERROR(F15/$F$22,0)</f>
        <v>1.4760147601476014E-2</v>
      </c>
      <c r="I15" s="20" t="str">
        <f>TEXT(F15,"##0")&amp;" for "&amp;TEXT(G15,"##0")&amp;" yrds"&amp;" ("&amp;TEXT(H15,"##0%")&amp;")"</f>
        <v>4 for 46 yrds (1%)</v>
      </c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</row>
    <row r="16" spans="1:25" ht="30" x14ac:dyDescent="0.25">
      <c r="A16" t="s">
        <v>1</v>
      </c>
      <c r="B16" s="25" t="s">
        <v>125</v>
      </c>
      <c r="C16">
        <f t="shared" si="4"/>
        <v>103</v>
      </c>
      <c r="E16" s="20" t="s">
        <v>126</v>
      </c>
      <c r="F16" s="19">
        <f>GETPIVOTDATA("Rush Attempts",Refresh!$A$25,"Direction","L","Gap","B")</f>
        <v>103</v>
      </c>
      <c r="G16" s="19">
        <f>GETPIVOTDATA("Yards",Refresh!$A$25,"Direction","L","Gap","B")</f>
        <v>511</v>
      </c>
      <c r="H16" s="24">
        <f t="shared" si="5"/>
        <v>0.38007380073800739</v>
      </c>
      <c r="I16" s="20" t="str">
        <f t="shared" ref="I16:I20" si="6">TEXT(F16,"##0")&amp;" for "&amp;TEXT(G16,"##0")&amp;" yrds"&amp;" ("&amp;TEXT(H16,"##0%")&amp;")"</f>
        <v>103 for 511 yrds (38%)</v>
      </c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</row>
    <row r="17" spans="1:24" x14ac:dyDescent="0.25">
      <c r="A17" t="s">
        <v>1</v>
      </c>
      <c r="B17" s="25" t="s">
        <v>127</v>
      </c>
      <c r="C17">
        <f t="shared" si="4"/>
        <v>0</v>
      </c>
      <c r="E17" s="20" t="s">
        <v>128</v>
      </c>
      <c r="F17" s="19">
        <f>GETPIVOTDATA("Rush Attempts",Refresh!$A$25,"Direction","L","Gap","A")</f>
        <v>0</v>
      </c>
      <c r="G17" s="19">
        <f>GETPIVOTDATA("Yards",Refresh!$A$25,"Direction","L","Gap","A")</f>
        <v>0</v>
      </c>
      <c r="H17" s="24">
        <f t="shared" si="5"/>
        <v>0</v>
      </c>
      <c r="I17" s="20" t="str">
        <f t="shared" si="6"/>
        <v>0 for 0 yrds (0%)</v>
      </c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</row>
    <row r="18" spans="1:24" x14ac:dyDescent="0.25">
      <c r="A18" t="s">
        <v>3</v>
      </c>
      <c r="B18" s="25" t="s">
        <v>127</v>
      </c>
      <c r="C18">
        <f t="shared" si="4"/>
        <v>0</v>
      </c>
      <c r="E18" s="20" t="s">
        <v>129</v>
      </c>
      <c r="F18" s="19">
        <f>GETPIVOTDATA("Rush Attempts",Refresh!$A$25,"Direction","R","Gap","A")</f>
        <v>0</v>
      </c>
      <c r="G18" s="19">
        <f>GETPIVOTDATA("Yards",Refresh!$A$25,"Direction","R","Gap","A")</f>
        <v>0</v>
      </c>
      <c r="H18" s="24">
        <f t="shared" si="5"/>
        <v>0</v>
      </c>
      <c r="I18" s="20" t="str">
        <f t="shared" si="6"/>
        <v>0 for 0 yrds (0%)</v>
      </c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</row>
    <row r="19" spans="1:24" ht="30" x14ac:dyDescent="0.25">
      <c r="A19" t="s">
        <v>3</v>
      </c>
      <c r="B19" s="25" t="s">
        <v>125</v>
      </c>
      <c r="C19">
        <f t="shared" si="4"/>
        <v>159</v>
      </c>
      <c r="E19" s="20" t="s">
        <v>130</v>
      </c>
      <c r="F19" s="19">
        <f>GETPIVOTDATA("Rush Attempts",Refresh!$A$25,"Direction","R","Gap","B")</f>
        <v>159</v>
      </c>
      <c r="G19" s="19">
        <f>GETPIVOTDATA("Yards",Refresh!$A$25,"Direction","R","Gap","B")</f>
        <v>845</v>
      </c>
      <c r="H19" s="24">
        <f t="shared" si="5"/>
        <v>0.58671586715867163</v>
      </c>
      <c r="I19" s="20" t="str">
        <f t="shared" si="6"/>
        <v>159 for 845 yrds (59%)</v>
      </c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</row>
    <row r="20" spans="1:24" x14ac:dyDescent="0.25">
      <c r="A20" t="s">
        <v>3</v>
      </c>
      <c r="B20" s="25" t="s">
        <v>123</v>
      </c>
      <c r="C20">
        <f t="shared" si="4"/>
        <v>5</v>
      </c>
      <c r="E20" s="20" t="s">
        <v>131</v>
      </c>
      <c r="F20" s="19">
        <f>GETPIVOTDATA("Rush Attempts",Refresh!$A$25,"Direction","R","Gap","C")</f>
        <v>5</v>
      </c>
      <c r="G20" s="19">
        <f>GETPIVOTDATA("Yards",Refresh!$A$25,"Direction","R","Gap","C")</f>
        <v>97</v>
      </c>
      <c r="H20" s="24">
        <f t="shared" si="5"/>
        <v>1.8450184501845018E-2</v>
      </c>
      <c r="I20" s="20" t="str">
        <f t="shared" si="6"/>
        <v>5 for 97 yrds (2%)</v>
      </c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</row>
    <row r="21" spans="1:24" x14ac:dyDescent="0.25"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</row>
    <row r="22" spans="1:24" x14ac:dyDescent="0.25">
      <c r="F22" s="5">
        <f>SUM(F15:F21)</f>
        <v>271</v>
      </c>
      <c r="G22" s="5">
        <f>SUM(G15:G21)</f>
        <v>1499</v>
      </c>
      <c r="I22" t="str">
        <f>TEXT(H16,"##%")</f>
        <v>38%</v>
      </c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</row>
    <row r="23" spans="1:24" x14ac:dyDescent="0.25"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</row>
    <row r="24" spans="1:24" x14ac:dyDescent="0.25"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</row>
    <row r="25" spans="1:24" x14ac:dyDescent="0.25"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</row>
    <row r="26" spans="1:24" x14ac:dyDescent="0.25"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</row>
    <row r="27" spans="1:24" x14ac:dyDescent="0.25"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</row>
    <row r="28" spans="1:24" x14ac:dyDescent="0.25"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</row>
    <row r="29" spans="1:24" x14ac:dyDescent="0.25"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</row>
    <row r="30" spans="1:24" x14ac:dyDescent="0.25"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</row>
    <row r="31" spans="1:24" x14ac:dyDescent="0.25"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</row>
    <row r="32" spans="1:24" x14ac:dyDescent="0.25"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</row>
    <row r="33" spans="11:24" x14ac:dyDescent="0.25"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</row>
    <row r="34" spans="11:24" x14ac:dyDescent="0.25"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</row>
    <row r="35" spans="11:24" x14ac:dyDescent="0.25"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</row>
  </sheetData>
  <mergeCells count="1">
    <mergeCell ref="A1:C1"/>
  </mergeCells>
  <pageMargins left="0.7" right="0.7" top="0.75" bottom="0.75" header="0.3" footer="0.3"/>
  <pageSetup orientation="portrait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P167"/>
  <sheetViews>
    <sheetView topLeftCell="A25" workbookViewId="0">
      <selection activeCell="F40" sqref="F40"/>
    </sheetView>
  </sheetViews>
  <sheetFormatPr defaultRowHeight="15" x14ac:dyDescent="0.25"/>
  <cols>
    <col min="1" max="1" width="14.42578125" style="17" customWidth="1"/>
    <col min="2" max="2" width="15.5703125" style="17" customWidth="1"/>
    <col min="3" max="3" width="15" style="17" customWidth="1"/>
    <col min="4" max="4" width="11.140625" style="17" bestFit="1" customWidth="1"/>
    <col min="5" max="7" width="9.28515625" style="17"/>
    <col min="8" max="9" width="10.85546875" style="17" customWidth="1"/>
    <col min="10" max="10" width="10.140625" style="17" customWidth="1"/>
    <col min="11" max="13" width="9.28515625" style="17"/>
    <col min="14" max="15" width="14.7109375" style="17" customWidth="1"/>
    <col min="16" max="16" width="9.28515625" style="17"/>
    <col min="19" max="19" width="19.42578125" customWidth="1"/>
  </cols>
  <sheetData>
    <row r="1" spans="1:16" x14ac:dyDescent="0.25">
      <c r="A1" s="17" t="s">
        <v>6</v>
      </c>
      <c r="B1" s="17" t="s">
        <v>57</v>
      </c>
      <c r="C1" s="17" t="s">
        <v>132</v>
      </c>
      <c r="D1" s="17" t="s">
        <v>133</v>
      </c>
      <c r="H1"/>
      <c r="I1" t="s">
        <v>133</v>
      </c>
      <c r="J1"/>
      <c r="K1" t="s">
        <v>55</v>
      </c>
      <c r="L1"/>
      <c r="M1"/>
      <c r="N1"/>
      <c r="O1"/>
      <c r="P1"/>
    </row>
    <row r="2" spans="1:16" x14ac:dyDescent="0.25">
      <c r="A2" s="17">
        <v>0</v>
      </c>
      <c r="B2" s="17" t="s">
        <v>73</v>
      </c>
      <c r="C2" s="17">
        <v>1</v>
      </c>
      <c r="D2" s="17" t="s">
        <v>58</v>
      </c>
      <c r="H2"/>
      <c r="I2" t="s">
        <v>134</v>
      </c>
      <c r="J2"/>
      <c r="K2" t="s">
        <v>135</v>
      </c>
      <c r="L2"/>
      <c r="M2"/>
      <c r="N2"/>
      <c r="O2"/>
      <c r="P2"/>
    </row>
    <row r="3" spans="1:16" x14ac:dyDescent="0.25">
      <c r="A3" s="17">
        <v>1</v>
      </c>
      <c r="B3" s="17" t="s">
        <v>74</v>
      </c>
      <c r="C3" s="17">
        <v>2</v>
      </c>
      <c r="D3" s="17" t="s">
        <v>136</v>
      </c>
      <c r="H3"/>
      <c r="I3" t="s">
        <v>137</v>
      </c>
      <c r="J3"/>
      <c r="K3" t="s">
        <v>138</v>
      </c>
      <c r="L3"/>
      <c r="M3"/>
      <c r="N3"/>
      <c r="O3"/>
      <c r="P3"/>
    </row>
    <row r="4" spans="1:16" x14ac:dyDescent="0.25">
      <c r="A4" s="17">
        <v>2</v>
      </c>
      <c r="B4" s="17" t="s">
        <v>75</v>
      </c>
      <c r="C4" s="17">
        <v>3</v>
      </c>
      <c r="D4" s="17" t="s">
        <v>139</v>
      </c>
      <c r="H4"/>
      <c r="I4" t="s">
        <v>140</v>
      </c>
      <c r="J4"/>
      <c r="K4" t="s">
        <v>141</v>
      </c>
      <c r="L4"/>
      <c r="M4"/>
      <c r="N4"/>
      <c r="O4"/>
      <c r="P4"/>
    </row>
    <row r="5" spans="1:16" x14ac:dyDescent="0.25">
      <c r="A5" s="17">
        <v>3</v>
      </c>
      <c r="B5" s="17" t="s">
        <v>71</v>
      </c>
      <c r="C5" s="17">
        <v>4</v>
      </c>
      <c r="D5" s="17" t="s">
        <v>142</v>
      </c>
      <c r="H5"/>
      <c r="I5" t="s">
        <v>143</v>
      </c>
      <c r="J5"/>
      <c r="K5" t="s">
        <v>144</v>
      </c>
      <c r="L5"/>
      <c r="M5"/>
      <c r="N5"/>
      <c r="O5"/>
      <c r="P5"/>
    </row>
    <row r="6" spans="1:16" x14ac:dyDescent="0.25">
      <c r="A6" s="17">
        <v>4</v>
      </c>
      <c r="C6" s="17" t="s">
        <v>145</v>
      </c>
      <c r="D6" s="17" t="s">
        <v>146</v>
      </c>
      <c r="H6"/>
      <c r="I6" t="s">
        <v>58</v>
      </c>
      <c r="J6"/>
      <c r="K6" t="s">
        <v>147</v>
      </c>
      <c r="L6"/>
      <c r="M6"/>
      <c r="N6"/>
      <c r="O6"/>
      <c r="P6"/>
    </row>
    <row r="7" spans="1:16" x14ac:dyDescent="0.25">
      <c r="I7" t="s">
        <v>148</v>
      </c>
      <c r="J7"/>
      <c r="K7" t="s">
        <v>149</v>
      </c>
      <c r="L7"/>
      <c r="M7"/>
      <c r="N7"/>
      <c r="O7"/>
      <c r="P7"/>
    </row>
    <row r="8" spans="1:16" x14ac:dyDescent="0.25">
      <c r="I8" t="s">
        <v>150</v>
      </c>
      <c r="J8"/>
      <c r="K8" t="s">
        <v>151</v>
      </c>
      <c r="L8"/>
      <c r="M8"/>
      <c r="N8"/>
      <c r="O8"/>
      <c r="P8"/>
    </row>
    <row r="9" spans="1:16" x14ac:dyDescent="0.25">
      <c r="A9" s="17" t="s">
        <v>152</v>
      </c>
      <c r="B9" s="17" t="s">
        <v>153</v>
      </c>
      <c r="C9" s="57" t="s">
        <v>154</v>
      </c>
      <c r="I9" t="s">
        <v>155</v>
      </c>
      <c r="J9"/>
      <c r="K9" t="s">
        <v>156</v>
      </c>
      <c r="L9"/>
      <c r="M9"/>
      <c r="N9"/>
      <c r="O9"/>
      <c r="P9"/>
    </row>
    <row r="10" spans="1:16" x14ac:dyDescent="0.25">
      <c r="A10" s="17">
        <v>1</v>
      </c>
      <c r="B10" s="17" t="s">
        <v>157</v>
      </c>
      <c r="C10" s="58" t="s">
        <v>13</v>
      </c>
      <c r="I10" t="s">
        <v>158</v>
      </c>
      <c r="J10"/>
      <c r="K10" t="s">
        <v>159</v>
      </c>
      <c r="L10"/>
      <c r="M10"/>
      <c r="N10"/>
      <c r="O10"/>
      <c r="P10"/>
    </row>
    <row r="11" spans="1:16" x14ac:dyDescent="0.25">
      <c r="A11" s="17">
        <v>2</v>
      </c>
      <c r="B11" s="17" t="s">
        <v>66</v>
      </c>
      <c r="C11" s="59" t="s">
        <v>12</v>
      </c>
      <c r="I11" t="s">
        <v>160</v>
      </c>
      <c r="J11"/>
      <c r="K11" t="s">
        <v>161</v>
      </c>
      <c r="L11"/>
      <c r="M11"/>
      <c r="N11"/>
      <c r="O11"/>
      <c r="P11"/>
    </row>
    <row r="12" spans="1:16" x14ac:dyDescent="0.25">
      <c r="A12" s="17">
        <v>3</v>
      </c>
      <c r="B12" s="17" t="s">
        <v>162</v>
      </c>
      <c r="C12" s="58" t="s">
        <v>163</v>
      </c>
      <c r="I12" t="s">
        <v>164</v>
      </c>
      <c r="J12"/>
      <c r="K12" t="s">
        <v>165</v>
      </c>
      <c r="L12"/>
      <c r="M12"/>
      <c r="N12"/>
      <c r="O12"/>
      <c r="P12"/>
    </row>
    <row r="13" spans="1:16" x14ac:dyDescent="0.25">
      <c r="I13" t="s">
        <v>166</v>
      </c>
      <c r="J13"/>
      <c r="K13" t="s">
        <v>167</v>
      </c>
      <c r="L13"/>
      <c r="M13"/>
      <c r="N13"/>
      <c r="O13"/>
      <c r="P13"/>
    </row>
    <row r="14" spans="1:16" x14ac:dyDescent="0.25">
      <c r="A14" s="17" t="s">
        <v>168</v>
      </c>
      <c r="B14" s="17" t="s">
        <v>169</v>
      </c>
      <c r="C14" s="17" t="s">
        <v>170</v>
      </c>
      <c r="I14" t="s">
        <v>136</v>
      </c>
      <c r="J14"/>
      <c r="K14" t="s">
        <v>13</v>
      </c>
      <c r="L14"/>
      <c r="M14"/>
      <c r="N14"/>
      <c r="O14"/>
      <c r="P14"/>
    </row>
    <row r="15" spans="1:16" x14ac:dyDescent="0.25">
      <c r="A15" s="17">
        <v>1</v>
      </c>
      <c r="B15" s="17" t="s">
        <v>72</v>
      </c>
      <c r="C15" s="17" t="s">
        <v>1</v>
      </c>
      <c r="I15" t="s">
        <v>171</v>
      </c>
      <c r="J15"/>
      <c r="K15" t="s">
        <v>172</v>
      </c>
      <c r="L15"/>
      <c r="M15"/>
      <c r="N15"/>
      <c r="O15"/>
      <c r="P15"/>
    </row>
    <row r="16" spans="1:16" x14ac:dyDescent="0.25">
      <c r="A16" s="17">
        <v>2</v>
      </c>
      <c r="B16" s="17" t="s">
        <v>31</v>
      </c>
      <c r="C16" s="17" t="s">
        <v>31</v>
      </c>
      <c r="I16" t="s">
        <v>173</v>
      </c>
      <c r="J16"/>
      <c r="K16" t="s">
        <v>174</v>
      </c>
      <c r="L16"/>
      <c r="M16"/>
      <c r="N16"/>
      <c r="O16"/>
      <c r="P16"/>
    </row>
    <row r="17" spans="1:16" x14ac:dyDescent="0.25">
      <c r="A17" s="17">
        <v>3</v>
      </c>
      <c r="B17" s="17" t="s">
        <v>66</v>
      </c>
      <c r="C17" s="17" t="s">
        <v>3</v>
      </c>
      <c r="I17" t="s">
        <v>139</v>
      </c>
      <c r="J17"/>
      <c r="K17" t="s">
        <v>12</v>
      </c>
      <c r="L17"/>
      <c r="M17"/>
      <c r="N17"/>
      <c r="O17"/>
      <c r="P17"/>
    </row>
    <row r="18" spans="1:16" x14ac:dyDescent="0.25">
      <c r="I18" t="s">
        <v>142</v>
      </c>
      <c r="J18"/>
      <c r="K18"/>
      <c r="L18"/>
      <c r="M18"/>
      <c r="N18"/>
      <c r="O18"/>
      <c r="P18"/>
    </row>
    <row r="19" spans="1:16" x14ac:dyDescent="0.25">
      <c r="A19" s="17" t="s">
        <v>175</v>
      </c>
      <c r="B19" s="17" t="s">
        <v>176</v>
      </c>
      <c r="C19" s="17" t="s">
        <v>177</v>
      </c>
      <c r="I19" t="s">
        <v>178</v>
      </c>
      <c r="J19"/>
      <c r="K19"/>
      <c r="L19"/>
      <c r="M19"/>
      <c r="N19"/>
      <c r="O19"/>
      <c r="P19"/>
    </row>
    <row r="20" spans="1:16" x14ac:dyDescent="0.25">
      <c r="A20" s="17">
        <v>1</v>
      </c>
      <c r="B20" s="17" t="s">
        <v>72</v>
      </c>
      <c r="C20" s="17" t="s">
        <v>1</v>
      </c>
      <c r="I20" t="s">
        <v>179</v>
      </c>
      <c r="J20"/>
      <c r="K20"/>
      <c r="L20"/>
      <c r="M20"/>
      <c r="N20"/>
      <c r="O20"/>
      <c r="P20"/>
    </row>
    <row r="21" spans="1:16" x14ac:dyDescent="0.25">
      <c r="A21" s="17">
        <v>2</v>
      </c>
      <c r="B21" s="17" t="s">
        <v>70</v>
      </c>
      <c r="C21" s="17" t="s">
        <v>2</v>
      </c>
      <c r="I21" t="s">
        <v>180</v>
      </c>
      <c r="J21"/>
      <c r="K21"/>
      <c r="L21"/>
      <c r="M21"/>
      <c r="N21"/>
      <c r="O21"/>
      <c r="P21"/>
    </row>
    <row r="22" spans="1:16" x14ac:dyDescent="0.25">
      <c r="A22" s="17">
        <v>3</v>
      </c>
      <c r="B22" s="17" t="s">
        <v>66</v>
      </c>
      <c r="C22" s="17" t="s">
        <v>3</v>
      </c>
      <c r="I22" t="s">
        <v>181</v>
      </c>
      <c r="J22"/>
      <c r="K22"/>
      <c r="L22"/>
      <c r="M22"/>
      <c r="N22"/>
      <c r="O22"/>
      <c r="P22"/>
    </row>
    <row r="23" spans="1:16" x14ac:dyDescent="0.25">
      <c r="I23" t="s">
        <v>182</v>
      </c>
      <c r="J23"/>
      <c r="K23"/>
      <c r="L23"/>
      <c r="M23"/>
      <c r="N23"/>
      <c r="O23"/>
      <c r="P23"/>
    </row>
    <row r="24" spans="1:16" x14ac:dyDescent="0.25">
      <c r="A24" s="60" t="s">
        <v>183</v>
      </c>
      <c r="B24" s="60" t="s">
        <v>184</v>
      </c>
      <c r="C24" s="60" t="s">
        <v>185</v>
      </c>
      <c r="I24" t="s">
        <v>186</v>
      </c>
      <c r="J24"/>
      <c r="K24"/>
      <c r="L24"/>
      <c r="M24"/>
      <c r="N24"/>
      <c r="O24"/>
      <c r="P24"/>
    </row>
    <row r="25" spans="1:16" x14ac:dyDescent="0.25">
      <c r="A25" s="58">
        <v>1</v>
      </c>
      <c r="B25" s="58" t="s">
        <v>72</v>
      </c>
      <c r="C25" s="58" t="s">
        <v>1</v>
      </c>
      <c r="I25" t="s">
        <v>187</v>
      </c>
      <c r="J25"/>
      <c r="K25"/>
      <c r="L25"/>
      <c r="M25"/>
      <c r="N25"/>
      <c r="O25"/>
      <c r="P25"/>
    </row>
    <row r="26" spans="1:16" x14ac:dyDescent="0.25">
      <c r="A26" s="61">
        <v>2</v>
      </c>
      <c r="B26" s="61" t="s">
        <v>66</v>
      </c>
      <c r="C26" s="61" t="s">
        <v>3</v>
      </c>
      <c r="I26" t="s">
        <v>188</v>
      </c>
      <c r="J26"/>
      <c r="K26"/>
      <c r="L26"/>
      <c r="M26"/>
      <c r="N26"/>
      <c r="O26"/>
      <c r="P26"/>
    </row>
    <row r="27" spans="1:16" x14ac:dyDescent="0.25">
      <c r="A27" s="113">
        <v>3</v>
      </c>
      <c r="B27" s="113"/>
      <c r="C27" s="113"/>
      <c r="I27" t="s">
        <v>189</v>
      </c>
      <c r="J27"/>
      <c r="K27"/>
      <c r="L27"/>
      <c r="M27"/>
      <c r="N27"/>
      <c r="O27"/>
      <c r="P27"/>
    </row>
    <row r="28" spans="1:16" x14ac:dyDescent="0.25">
      <c r="I28" t="s">
        <v>190</v>
      </c>
      <c r="J28"/>
      <c r="K28"/>
      <c r="L28"/>
      <c r="M28"/>
      <c r="N28"/>
      <c r="O28"/>
      <c r="P28"/>
    </row>
    <row r="29" spans="1:16" x14ac:dyDescent="0.25">
      <c r="A29" s="17" t="s">
        <v>191</v>
      </c>
      <c r="B29" s="17" t="s">
        <v>192</v>
      </c>
      <c r="C29" s="17" t="s">
        <v>193</v>
      </c>
      <c r="I29" t="s">
        <v>146</v>
      </c>
      <c r="J29"/>
      <c r="K29"/>
      <c r="L29"/>
      <c r="M29"/>
      <c r="N29"/>
      <c r="O29"/>
      <c r="P29"/>
    </row>
    <row r="30" spans="1:16" x14ac:dyDescent="0.25">
      <c r="A30" s="17">
        <v>1</v>
      </c>
      <c r="B30" s="17" t="s">
        <v>67</v>
      </c>
      <c r="C30" s="17" t="s">
        <v>194</v>
      </c>
      <c r="I30" t="s">
        <v>195</v>
      </c>
      <c r="J30"/>
      <c r="K30"/>
      <c r="L30"/>
      <c r="M30"/>
      <c r="N30"/>
      <c r="O30"/>
      <c r="P30"/>
    </row>
    <row r="31" spans="1:16" x14ac:dyDescent="0.25">
      <c r="A31" s="17">
        <v>2</v>
      </c>
      <c r="B31" s="17" t="s">
        <v>70</v>
      </c>
      <c r="C31" s="17" t="s">
        <v>196</v>
      </c>
      <c r="I31" t="s">
        <v>197</v>
      </c>
      <c r="J31"/>
      <c r="K31"/>
      <c r="L31"/>
      <c r="M31"/>
      <c r="N31"/>
      <c r="O31"/>
      <c r="P31"/>
    </row>
    <row r="32" spans="1:16" x14ac:dyDescent="0.25">
      <c r="A32" s="17">
        <v>3</v>
      </c>
      <c r="B32" s="17" t="s">
        <v>71</v>
      </c>
      <c r="C32" s="17" t="s">
        <v>198</v>
      </c>
      <c r="I32" t="s">
        <v>199</v>
      </c>
      <c r="J32"/>
      <c r="K32"/>
      <c r="L32"/>
      <c r="M32"/>
      <c r="N32"/>
      <c r="O32"/>
      <c r="P32"/>
    </row>
    <row r="33" spans="1:16" x14ac:dyDescent="0.25">
      <c r="I33" t="s">
        <v>200</v>
      </c>
      <c r="J33"/>
      <c r="K33"/>
      <c r="L33"/>
      <c r="M33"/>
      <c r="N33"/>
      <c r="O33"/>
      <c r="P33"/>
    </row>
    <row r="34" spans="1:16" x14ac:dyDescent="0.25">
      <c r="A34" s="17" t="s">
        <v>201</v>
      </c>
      <c r="B34" s="17" t="s">
        <v>202</v>
      </c>
      <c r="C34" s="17" t="s">
        <v>203</v>
      </c>
      <c r="I34" t="s">
        <v>204</v>
      </c>
      <c r="J34"/>
      <c r="K34"/>
      <c r="L34"/>
      <c r="M34"/>
      <c r="N34"/>
      <c r="O34"/>
      <c r="P34"/>
    </row>
    <row r="35" spans="1:16" x14ac:dyDescent="0.25">
      <c r="A35" s="17">
        <v>1</v>
      </c>
      <c r="B35" s="17" t="s">
        <v>72</v>
      </c>
      <c r="C35" s="17" t="s">
        <v>1</v>
      </c>
      <c r="I35" t="s">
        <v>205</v>
      </c>
      <c r="J35"/>
      <c r="K35"/>
      <c r="L35"/>
      <c r="M35"/>
      <c r="N35"/>
      <c r="O35"/>
      <c r="P35"/>
    </row>
    <row r="36" spans="1:16" x14ac:dyDescent="0.25">
      <c r="A36" s="17">
        <v>2</v>
      </c>
      <c r="B36" s="17" t="s">
        <v>70</v>
      </c>
      <c r="C36" s="17" t="s">
        <v>2</v>
      </c>
      <c r="I36" t="s">
        <v>206</v>
      </c>
      <c r="J36"/>
      <c r="K36"/>
      <c r="L36"/>
      <c r="M36"/>
      <c r="N36"/>
      <c r="O36"/>
      <c r="P36"/>
    </row>
    <row r="37" spans="1:16" x14ac:dyDescent="0.25">
      <c r="A37" s="17">
        <v>3</v>
      </c>
      <c r="B37" s="17" t="s">
        <v>66</v>
      </c>
      <c r="C37" s="17" t="s">
        <v>3</v>
      </c>
      <c r="I37" t="s">
        <v>207</v>
      </c>
      <c r="J37"/>
      <c r="K37"/>
      <c r="L37"/>
      <c r="M37"/>
      <c r="N37"/>
      <c r="O37"/>
      <c r="P37"/>
    </row>
    <row r="38" spans="1:16" x14ac:dyDescent="0.25">
      <c r="I38" t="s">
        <v>208</v>
      </c>
      <c r="J38"/>
      <c r="K38"/>
      <c r="L38"/>
      <c r="M38"/>
      <c r="N38"/>
      <c r="O38"/>
      <c r="P38"/>
    </row>
    <row r="39" spans="1:16" x14ac:dyDescent="0.25">
      <c r="A39" s="57" t="s">
        <v>209</v>
      </c>
      <c r="B39" s="17" t="s">
        <v>210</v>
      </c>
      <c r="C39" s="17" t="s">
        <v>211</v>
      </c>
      <c r="I39" t="s">
        <v>212</v>
      </c>
      <c r="J39"/>
      <c r="K39"/>
      <c r="L39"/>
      <c r="M39"/>
      <c r="N39"/>
      <c r="O39"/>
      <c r="P39"/>
    </row>
    <row r="40" spans="1:16" x14ac:dyDescent="0.25">
      <c r="A40" s="58">
        <v>1</v>
      </c>
      <c r="B40" s="17" t="s">
        <v>213</v>
      </c>
      <c r="C40" s="58" t="s">
        <v>214</v>
      </c>
      <c r="I40" t="s">
        <v>215</v>
      </c>
      <c r="J40"/>
      <c r="K40"/>
      <c r="L40"/>
      <c r="M40"/>
      <c r="N40"/>
      <c r="O40"/>
      <c r="P40"/>
    </row>
    <row r="41" spans="1:16" x14ac:dyDescent="0.25">
      <c r="A41" s="59">
        <v>2</v>
      </c>
      <c r="B41" s="17" t="s">
        <v>71</v>
      </c>
      <c r="C41" s="59" t="s">
        <v>216</v>
      </c>
      <c r="I41" t="s">
        <v>217</v>
      </c>
      <c r="J41"/>
      <c r="K41"/>
      <c r="L41"/>
      <c r="M41"/>
      <c r="N41"/>
      <c r="O41"/>
      <c r="P41"/>
    </row>
    <row r="42" spans="1:16" x14ac:dyDescent="0.25">
      <c r="A42" s="58">
        <v>3</v>
      </c>
      <c r="B42" s="17" t="s">
        <v>162</v>
      </c>
      <c r="C42" s="58" t="s">
        <v>163</v>
      </c>
      <c r="I42" t="s">
        <v>218</v>
      </c>
      <c r="J42"/>
      <c r="K42"/>
      <c r="L42"/>
      <c r="M42"/>
      <c r="N42"/>
      <c r="O42"/>
      <c r="P42"/>
    </row>
    <row r="43" spans="1:16" x14ac:dyDescent="0.25">
      <c r="A43" s="59">
        <v>4</v>
      </c>
      <c r="B43" s="17" t="s">
        <v>67</v>
      </c>
      <c r="C43" s="59" t="s">
        <v>219</v>
      </c>
      <c r="P43"/>
    </row>
    <row r="44" spans="1:16" x14ac:dyDescent="0.25">
      <c r="A44" s="58"/>
      <c r="C44" s="58"/>
      <c r="P44"/>
    </row>
    <row r="48" spans="1:16" ht="14.65" customHeight="1" x14ac:dyDescent="0.25">
      <c r="A48" s="60" t="s">
        <v>220</v>
      </c>
      <c r="C48" s="60" t="s">
        <v>221</v>
      </c>
    </row>
    <row r="49" spans="1:4" ht="14.65" customHeight="1" x14ac:dyDescent="0.25">
      <c r="A49" s="58" t="s">
        <v>18</v>
      </c>
      <c r="C49" s="58" t="s">
        <v>44</v>
      </c>
    </row>
    <row r="50" spans="1:4" ht="14.65" customHeight="1" x14ac:dyDescent="0.25">
      <c r="A50" s="59" t="s">
        <v>15</v>
      </c>
      <c r="C50" s="59" t="s">
        <v>222</v>
      </c>
    </row>
    <row r="51" spans="1:4" ht="14.65" customHeight="1" x14ac:dyDescent="0.25">
      <c r="A51" s="58" t="s">
        <v>28</v>
      </c>
      <c r="C51" s="58" t="s">
        <v>223</v>
      </c>
    </row>
    <row r="52" spans="1:4" ht="14.65" customHeight="1" x14ac:dyDescent="0.25">
      <c r="A52" s="59" t="s">
        <v>25</v>
      </c>
      <c r="C52" s="61" t="s">
        <v>26</v>
      </c>
    </row>
    <row r="53" spans="1:4" ht="14.65" customHeight="1" x14ac:dyDescent="0.25">
      <c r="A53" s="58" t="s">
        <v>224</v>
      </c>
    </row>
    <row r="54" spans="1:4" ht="14.65" customHeight="1" x14ac:dyDescent="0.25">
      <c r="A54" s="59" t="s">
        <v>35</v>
      </c>
    </row>
    <row r="55" spans="1:4" ht="14.65" customHeight="1" x14ac:dyDescent="0.25">
      <c r="A55" s="58" t="s">
        <v>32</v>
      </c>
    </row>
    <row r="56" spans="1:4" ht="14.65" customHeight="1" x14ac:dyDescent="0.25">
      <c r="A56" s="59" t="s">
        <v>225</v>
      </c>
    </row>
    <row r="57" spans="1:4" ht="14.65" customHeight="1" x14ac:dyDescent="0.25">
      <c r="A57" s="58" t="s">
        <v>41</v>
      </c>
    </row>
    <row r="58" spans="1:4" ht="14.65" customHeight="1" x14ac:dyDescent="0.25">
      <c r="A58" s="61" t="s">
        <v>38</v>
      </c>
    </row>
    <row r="59" spans="1:4" ht="14.65" customHeight="1" x14ac:dyDescent="0.25"/>
    <row r="60" spans="1:4" ht="14.65" customHeight="1" x14ac:dyDescent="0.25"/>
    <row r="61" spans="1:4" ht="14.65" customHeight="1" x14ac:dyDescent="0.25"/>
    <row r="62" spans="1:4" ht="14.65" customHeight="1" x14ac:dyDescent="0.25">
      <c r="A62" s="17" t="s">
        <v>226</v>
      </c>
      <c r="B62" s="17" t="s">
        <v>6</v>
      </c>
      <c r="C62" s="17" t="s">
        <v>58</v>
      </c>
      <c r="D62" s="17" t="s">
        <v>9</v>
      </c>
    </row>
    <row r="63" spans="1:4" ht="14.65" customHeight="1" x14ac:dyDescent="0.25">
      <c r="A63" s="17">
        <v>1</v>
      </c>
      <c r="B63" s="17">
        <v>1</v>
      </c>
      <c r="C63" s="17">
        <v>1</v>
      </c>
      <c r="D63" s="17">
        <v>0</v>
      </c>
    </row>
    <row r="64" spans="1:4" ht="14.65" customHeight="1" x14ac:dyDescent="0.25">
      <c r="A64" s="17">
        <v>2</v>
      </c>
      <c r="B64" s="17">
        <v>2</v>
      </c>
      <c r="C64" s="17">
        <v>0</v>
      </c>
      <c r="D64" s="17">
        <v>1</v>
      </c>
    </row>
    <row r="65" spans="1:2" ht="14.65" customHeight="1" x14ac:dyDescent="0.25">
      <c r="A65" s="17">
        <v>3</v>
      </c>
      <c r="B65" s="17">
        <v>3</v>
      </c>
    </row>
    <row r="66" spans="1:2" ht="14.65" customHeight="1" x14ac:dyDescent="0.25">
      <c r="A66" s="17">
        <v>4</v>
      </c>
      <c r="B66" s="17">
        <v>4</v>
      </c>
    </row>
    <row r="67" spans="1:2" ht="14.65" customHeight="1" x14ac:dyDescent="0.25">
      <c r="B67" s="17">
        <v>0</v>
      </c>
    </row>
    <row r="68" spans="1:2" x14ac:dyDescent="0.25">
      <c r="A68" s="17" t="s">
        <v>50</v>
      </c>
      <c r="B68" s="17" t="s">
        <v>227</v>
      </c>
    </row>
    <row r="69" spans="1:2" x14ac:dyDescent="0.25">
      <c r="A69" s="17">
        <v>1</v>
      </c>
      <c r="B69" s="17">
        <v>-1</v>
      </c>
    </row>
    <row r="70" spans="1:2" x14ac:dyDescent="0.25">
      <c r="A70" s="17">
        <v>2</v>
      </c>
      <c r="B70" s="17">
        <v>-2</v>
      </c>
    </row>
    <row r="71" spans="1:2" x14ac:dyDescent="0.25">
      <c r="A71" s="17">
        <v>3</v>
      </c>
      <c r="B71" s="17">
        <v>-3</v>
      </c>
    </row>
    <row r="72" spans="1:2" x14ac:dyDescent="0.25">
      <c r="A72" s="17">
        <v>4</v>
      </c>
      <c r="B72" s="17">
        <v>-4</v>
      </c>
    </row>
    <row r="73" spans="1:2" x14ac:dyDescent="0.25">
      <c r="A73" s="17">
        <v>5</v>
      </c>
      <c r="B73" s="17">
        <v>-5</v>
      </c>
    </row>
    <row r="74" spans="1:2" x14ac:dyDescent="0.25">
      <c r="A74" s="17">
        <v>6</v>
      </c>
      <c r="B74" s="17">
        <v>-6</v>
      </c>
    </row>
    <row r="75" spans="1:2" x14ac:dyDescent="0.25">
      <c r="A75" s="17">
        <v>7</v>
      </c>
      <c r="B75" s="17">
        <v>-7</v>
      </c>
    </row>
    <row r="76" spans="1:2" x14ac:dyDescent="0.25">
      <c r="A76" s="17">
        <v>8</v>
      </c>
      <c r="B76" s="17">
        <v>-8</v>
      </c>
    </row>
    <row r="77" spans="1:2" x14ac:dyDescent="0.25">
      <c r="A77" s="17">
        <v>9</v>
      </c>
      <c r="B77" s="17">
        <v>-9</v>
      </c>
    </row>
    <row r="78" spans="1:2" x14ac:dyDescent="0.25">
      <c r="A78" s="17">
        <v>10</v>
      </c>
      <c r="B78" s="17">
        <v>-10</v>
      </c>
    </row>
    <row r="79" spans="1:2" x14ac:dyDescent="0.25">
      <c r="A79" s="17">
        <v>11</v>
      </c>
      <c r="B79" s="17">
        <v>-11</v>
      </c>
    </row>
    <row r="80" spans="1:2" x14ac:dyDescent="0.25">
      <c r="A80" s="17">
        <v>12</v>
      </c>
      <c r="B80" s="17">
        <v>-12</v>
      </c>
    </row>
    <row r="81" spans="1:2" x14ac:dyDescent="0.25">
      <c r="A81" s="17">
        <v>13</v>
      </c>
      <c r="B81" s="17">
        <v>-13</v>
      </c>
    </row>
    <row r="82" spans="1:2" x14ac:dyDescent="0.25">
      <c r="A82" s="17">
        <v>14</v>
      </c>
      <c r="B82" s="17">
        <v>-14</v>
      </c>
    </row>
    <row r="83" spans="1:2" x14ac:dyDescent="0.25">
      <c r="A83" s="17">
        <v>15</v>
      </c>
      <c r="B83" s="17">
        <v>-15</v>
      </c>
    </row>
    <row r="84" spans="1:2" x14ac:dyDescent="0.25">
      <c r="A84" s="17">
        <v>16</v>
      </c>
      <c r="B84" s="17">
        <v>-16</v>
      </c>
    </row>
    <row r="85" spans="1:2" x14ac:dyDescent="0.25">
      <c r="A85" s="17">
        <v>17</v>
      </c>
      <c r="B85" s="17">
        <v>-17</v>
      </c>
    </row>
    <row r="86" spans="1:2" x14ac:dyDescent="0.25">
      <c r="A86" s="17">
        <v>18</v>
      </c>
      <c r="B86" s="17">
        <v>-18</v>
      </c>
    </row>
    <row r="87" spans="1:2" x14ac:dyDescent="0.25">
      <c r="A87" s="17">
        <v>19</v>
      </c>
      <c r="B87" s="17">
        <v>-19</v>
      </c>
    </row>
    <row r="88" spans="1:2" x14ac:dyDescent="0.25">
      <c r="A88" s="17">
        <v>20</v>
      </c>
      <c r="B88" s="17">
        <v>-20</v>
      </c>
    </row>
    <row r="89" spans="1:2" x14ac:dyDescent="0.25">
      <c r="A89" s="17">
        <v>21</v>
      </c>
      <c r="B89" s="17">
        <v>-21</v>
      </c>
    </row>
    <row r="90" spans="1:2" x14ac:dyDescent="0.25">
      <c r="A90" s="17">
        <v>22</v>
      </c>
      <c r="B90" s="17">
        <v>-22</v>
      </c>
    </row>
    <row r="91" spans="1:2" x14ac:dyDescent="0.25">
      <c r="A91" s="17">
        <v>23</v>
      </c>
      <c r="B91" s="17">
        <v>-23</v>
      </c>
    </row>
    <row r="92" spans="1:2" x14ac:dyDescent="0.25">
      <c r="A92" s="17">
        <v>24</v>
      </c>
      <c r="B92" s="17">
        <v>-24</v>
      </c>
    </row>
    <row r="93" spans="1:2" x14ac:dyDescent="0.25">
      <c r="A93" s="17">
        <v>25</v>
      </c>
      <c r="B93" s="17">
        <v>-25</v>
      </c>
    </row>
    <row r="94" spans="1:2" x14ac:dyDescent="0.25">
      <c r="A94" s="17">
        <v>26</v>
      </c>
      <c r="B94" s="17">
        <v>-26</v>
      </c>
    </row>
    <row r="95" spans="1:2" x14ac:dyDescent="0.25">
      <c r="A95" s="17">
        <v>27</v>
      </c>
      <c r="B95" s="17">
        <v>-27</v>
      </c>
    </row>
    <row r="96" spans="1:2" x14ac:dyDescent="0.25">
      <c r="A96" s="17">
        <v>28</v>
      </c>
      <c r="B96" s="17">
        <v>-28</v>
      </c>
    </row>
    <row r="97" spans="1:2" x14ac:dyDescent="0.25">
      <c r="A97" s="17">
        <v>29</v>
      </c>
      <c r="B97" s="17">
        <v>-29</v>
      </c>
    </row>
    <row r="98" spans="1:2" x14ac:dyDescent="0.25">
      <c r="A98" s="17">
        <v>30</v>
      </c>
      <c r="B98" s="17">
        <v>-30</v>
      </c>
    </row>
    <row r="99" spans="1:2" x14ac:dyDescent="0.25">
      <c r="A99" s="17">
        <v>31</v>
      </c>
      <c r="B99" s="17">
        <v>-31</v>
      </c>
    </row>
    <row r="100" spans="1:2" x14ac:dyDescent="0.25">
      <c r="A100" s="17">
        <v>32</v>
      </c>
      <c r="B100" s="17">
        <v>-32</v>
      </c>
    </row>
    <row r="101" spans="1:2" x14ac:dyDescent="0.25">
      <c r="A101" s="17">
        <v>33</v>
      </c>
      <c r="B101" s="17">
        <v>-33</v>
      </c>
    </row>
    <row r="102" spans="1:2" x14ac:dyDescent="0.25">
      <c r="A102" s="17">
        <v>34</v>
      </c>
      <c r="B102" s="17">
        <v>-34</v>
      </c>
    </row>
    <row r="103" spans="1:2" x14ac:dyDescent="0.25">
      <c r="A103" s="17">
        <v>35</v>
      </c>
      <c r="B103" s="17">
        <v>-35</v>
      </c>
    </row>
    <row r="104" spans="1:2" x14ac:dyDescent="0.25">
      <c r="B104" s="17">
        <v>-36</v>
      </c>
    </row>
    <row r="105" spans="1:2" x14ac:dyDescent="0.25">
      <c r="B105" s="17">
        <v>-37</v>
      </c>
    </row>
    <row r="106" spans="1:2" x14ac:dyDescent="0.25">
      <c r="B106" s="17">
        <v>-38</v>
      </c>
    </row>
    <row r="107" spans="1:2" x14ac:dyDescent="0.25">
      <c r="B107" s="17">
        <v>-39</v>
      </c>
    </row>
    <row r="108" spans="1:2" x14ac:dyDescent="0.25">
      <c r="B108" s="17">
        <v>-40</v>
      </c>
    </row>
    <row r="109" spans="1:2" x14ac:dyDescent="0.25">
      <c r="B109" s="17">
        <v>-41</v>
      </c>
    </row>
    <row r="110" spans="1:2" x14ac:dyDescent="0.25">
      <c r="B110" s="17">
        <v>-42</v>
      </c>
    </row>
    <row r="111" spans="1:2" x14ac:dyDescent="0.25">
      <c r="B111" s="17">
        <v>-43</v>
      </c>
    </row>
    <row r="112" spans="1:2" x14ac:dyDescent="0.25">
      <c r="B112" s="17">
        <v>-44</v>
      </c>
    </row>
    <row r="113" spans="2:2" x14ac:dyDescent="0.25">
      <c r="B113" s="17">
        <v>-45</v>
      </c>
    </row>
    <row r="114" spans="2:2" x14ac:dyDescent="0.25">
      <c r="B114" s="17">
        <v>-46</v>
      </c>
    </row>
    <row r="115" spans="2:2" x14ac:dyDescent="0.25">
      <c r="B115" s="17">
        <v>-47</v>
      </c>
    </row>
    <row r="116" spans="2:2" x14ac:dyDescent="0.25">
      <c r="B116" s="17">
        <v>-48</v>
      </c>
    </row>
    <row r="117" spans="2:2" x14ac:dyDescent="0.25">
      <c r="B117" s="17">
        <v>-49</v>
      </c>
    </row>
    <row r="118" spans="2:2" x14ac:dyDescent="0.25">
      <c r="B118" s="17">
        <v>50</v>
      </c>
    </row>
    <row r="119" spans="2:2" x14ac:dyDescent="0.25">
      <c r="B119" s="17">
        <v>49</v>
      </c>
    </row>
    <row r="120" spans="2:2" x14ac:dyDescent="0.25">
      <c r="B120" s="17">
        <v>48</v>
      </c>
    </row>
    <row r="121" spans="2:2" x14ac:dyDescent="0.25">
      <c r="B121" s="17">
        <v>47</v>
      </c>
    </row>
    <row r="122" spans="2:2" x14ac:dyDescent="0.25">
      <c r="B122" s="17">
        <v>46</v>
      </c>
    </row>
    <row r="123" spans="2:2" x14ac:dyDescent="0.25">
      <c r="B123" s="17">
        <v>45</v>
      </c>
    </row>
    <row r="124" spans="2:2" x14ac:dyDescent="0.25">
      <c r="B124" s="17">
        <v>44</v>
      </c>
    </row>
    <row r="125" spans="2:2" x14ac:dyDescent="0.25">
      <c r="B125" s="17">
        <v>43</v>
      </c>
    </row>
    <row r="126" spans="2:2" x14ac:dyDescent="0.25">
      <c r="B126" s="17">
        <v>42</v>
      </c>
    </row>
    <row r="127" spans="2:2" x14ac:dyDescent="0.25">
      <c r="B127" s="17">
        <v>41</v>
      </c>
    </row>
    <row r="128" spans="2:2" x14ac:dyDescent="0.25">
      <c r="B128" s="17">
        <v>40</v>
      </c>
    </row>
    <row r="129" spans="2:2" x14ac:dyDescent="0.25">
      <c r="B129" s="17">
        <v>39</v>
      </c>
    </row>
    <row r="130" spans="2:2" x14ac:dyDescent="0.25">
      <c r="B130" s="17">
        <v>38</v>
      </c>
    </row>
    <row r="131" spans="2:2" x14ac:dyDescent="0.25">
      <c r="B131" s="17">
        <v>37</v>
      </c>
    </row>
    <row r="132" spans="2:2" x14ac:dyDescent="0.25">
      <c r="B132" s="17">
        <v>36</v>
      </c>
    </row>
    <row r="133" spans="2:2" x14ac:dyDescent="0.25">
      <c r="B133" s="17">
        <v>35</v>
      </c>
    </row>
    <row r="134" spans="2:2" x14ac:dyDescent="0.25">
      <c r="B134" s="17">
        <v>34</v>
      </c>
    </row>
    <row r="135" spans="2:2" x14ac:dyDescent="0.25">
      <c r="B135" s="17">
        <v>33</v>
      </c>
    </row>
    <row r="136" spans="2:2" x14ac:dyDescent="0.25">
      <c r="B136" s="17">
        <v>32</v>
      </c>
    </row>
    <row r="137" spans="2:2" x14ac:dyDescent="0.25">
      <c r="B137" s="17">
        <v>31</v>
      </c>
    </row>
    <row r="138" spans="2:2" x14ac:dyDescent="0.25">
      <c r="B138" s="17">
        <v>30</v>
      </c>
    </row>
    <row r="139" spans="2:2" x14ac:dyDescent="0.25">
      <c r="B139" s="17">
        <v>29</v>
      </c>
    </row>
    <row r="140" spans="2:2" x14ac:dyDescent="0.25">
      <c r="B140" s="17">
        <v>28</v>
      </c>
    </row>
    <row r="141" spans="2:2" x14ac:dyDescent="0.25">
      <c r="B141" s="17">
        <v>27</v>
      </c>
    </row>
    <row r="142" spans="2:2" x14ac:dyDescent="0.25">
      <c r="B142" s="17">
        <v>26</v>
      </c>
    </row>
    <row r="143" spans="2:2" x14ac:dyDescent="0.25">
      <c r="B143" s="17">
        <v>25</v>
      </c>
    </row>
    <row r="144" spans="2:2" x14ac:dyDescent="0.25">
      <c r="B144" s="17">
        <v>24</v>
      </c>
    </row>
    <row r="145" spans="2:2" x14ac:dyDescent="0.25">
      <c r="B145" s="17">
        <v>23</v>
      </c>
    </row>
    <row r="146" spans="2:2" x14ac:dyDescent="0.25">
      <c r="B146" s="17">
        <v>22</v>
      </c>
    </row>
    <row r="147" spans="2:2" x14ac:dyDescent="0.25">
      <c r="B147" s="17">
        <v>21</v>
      </c>
    </row>
    <row r="148" spans="2:2" x14ac:dyDescent="0.25">
      <c r="B148" s="17">
        <v>20</v>
      </c>
    </row>
    <row r="149" spans="2:2" x14ac:dyDescent="0.25">
      <c r="B149" s="17">
        <v>19</v>
      </c>
    </row>
    <row r="150" spans="2:2" x14ac:dyDescent="0.25">
      <c r="B150" s="17">
        <v>18</v>
      </c>
    </row>
    <row r="151" spans="2:2" x14ac:dyDescent="0.25">
      <c r="B151" s="17">
        <v>17</v>
      </c>
    </row>
    <row r="152" spans="2:2" x14ac:dyDescent="0.25">
      <c r="B152" s="17">
        <v>16</v>
      </c>
    </row>
    <row r="153" spans="2:2" x14ac:dyDescent="0.25">
      <c r="B153" s="17">
        <v>15</v>
      </c>
    </row>
    <row r="154" spans="2:2" x14ac:dyDescent="0.25">
      <c r="B154" s="17">
        <v>14</v>
      </c>
    </row>
    <row r="155" spans="2:2" x14ac:dyDescent="0.25">
      <c r="B155" s="17">
        <v>13</v>
      </c>
    </row>
    <row r="156" spans="2:2" x14ac:dyDescent="0.25">
      <c r="B156" s="17">
        <v>12</v>
      </c>
    </row>
    <row r="157" spans="2:2" x14ac:dyDescent="0.25">
      <c r="B157" s="17">
        <v>11</v>
      </c>
    </row>
    <row r="158" spans="2:2" x14ac:dyDescent="0.25">
      <c r="B158" s="17">
        <v>10</v>
      </c>
    </row>
    <row r="159" spans="2:2" x14ac:dyDescent="0.25">
      <c r="B159" s="17">
        <v>9</v>
      </c>
    </row>
    <row r="160" spans="2:2" x14ac:dyDescent="0.25">
      <c r="B160" s="17">
        <v>8</v>
      </c>
    </row>
    <row r="161" spans="2:2" x14ac:dyDescent="0.25">
      <c r="B161" s="17">
        <v>7</v>
      </c>
    </row>
    <row r="162" spans="2:2" x14ac:dyDescent="0.25">
      <c r="B162" s="17">
        <v>6</v>
      </c>
    </row>
    <row r="163" spans="2:2" x14ac:dyDescent="0.25">
      <c r="B163" s="17">
        <v>5</v>
      </c>
    </row>
    <row r="164" spans="2:2" x14ac:dyDescent="0.25">
      <c r="B164" s="17">
        <v>4</v>
      </c>
    </row>
    <row r="165" spans="2:2" x14ac:dyDescent="0.25">
      <c r="B165" s="17">
        <v>3</v>
      </c>
    </row>
    <row r="166" spans="2:2" x14ac:dyDescent="0.25">
      <c r="B166" s="17">
        <v>2</v>
      </c>
    </row>
    <row r="167" spans="2:2" x14ac:dyDescent="0.25">
      <c r="B167" s="17">
        <v>1</v>
      </c>
    </row>
  </sheetData>
  <sortState xmlns:xlrd2="http://schemas.microsoft.com/office/spreadsheetml/2017/richdata2" ref="B49:B68">
    <sortCondition ref="B49"/>
  </sortState>
  <pageMargins left="0.7" right="0.7" top="0.75" bottom="0.75" header="0.3" footer="0.3"/>
  <pageSetup orientation="portrait" r:id="rId1"/>
  <tableParts count="1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Props1.xml><?xml version="1.0" encoding="utf-8"?>
<ds:datastoreItem xmlns:ds="http://schemas.openxmlformats.org/officeDocument/2006/customXml" ds:itemID="{6B4C2C83-49FA-4E6F-B1ED-0EF9B6ECB7E1}">
  <ds:schemaRefs>
    <ds:schemaRef ds:uri="http://gemini/pivotcustomization/IsSandboxEmbedded"/>
  </ds:schemaRefs>
</ds:datastoreItem>
</file>

<file path=customXml/itemProps2.xml><?xml version="1.0" encoding="utf-8"?>
<ds:datastoreItem xmlns:ds="http://schemas.openxmlformats.org/officeDocument/2006/customXml" ds:itemID="{D9A92DA2-E667-4091-8CCB-F7222D116D21}">
  <ds:schemaRefs>
    <ds:schemaRef ds:uri="http://gemini/pivotcustomization/TableXML_Table4"/>
  </ds:schemaRefs>
</ds:datastoreItem>
</file>

<file path=customXml/itemProps3.xml><?xml version="1.0" encoding="utf-8"?>
<ds:datastoreItem xmlns:ds="http://schemas.openxmlformats.org/officeDocument/2006/customXml" ds:itemID="{8C39E7C0-6F7B-4E67-B688-26CFE2D4A83C}">
  <ds:schemaRefs>
    <ds:schemaRef ds:uri="http://gemini/pivotcustomization/TableXML_Table24"/>
  </ds:schemaRefs>
</ds:datastoreItem>
</file>

<file path=customXml/itemProps4.xml><?xml version="1.0" encoding="utf-8"?>
<ds:datastoreItem xmlns:ds="http://schemas.openxmlformats.org/officeDocument/2006/customXml" ds:itemID="{BA961983-2543-41AF-9F8E-27199413BEAF}">
  <ds:schemaRefs>
    <ds:schemaRef ds:uri="http://gemini/pivotcustomization/TableOrder"/>
  </ds:schemaRefs>
</ds:datastoreItem>
</file>

<file path=customXml/itemProps5.xml><?xml version="1.0" encoding="utf-8"?>
<ds:datastoreItem xmlns:ds="http://schemas.openxmlformats.org/officeDocument/2006/customXml" ds:itemID="{051AFC4D-0A28-4BB5-ABCE-73A27AC96055}">
  <ds:schemaRefs>
    <ds:schemaRef ds:uri="http://gemini/pivotcustomization/TableXML_Table247"/>
  </ds:schemaRefs>
</ds:datastoreItem>
</file>

<file path=customXml/itemProps6.xml><?xml version="1.0" encoding="utf-8"?>
<ds:datastoreItem xmlns:ds="http://schemas.openxmlformats.org/officeDocument/2006/customXml" ds:itemID="{772ACCE6-3F0C-45C7-A703-C1065F0A5AA5}">
  <ds:schemaRefs>
    <ds:schemaRef ds:uri="http://gemini/pivotcustomization/TableXML_Table246"/>
  </ds:schemaRefs>
</ds:datastoreItem>
</file>

<file path=customXml/itemProps7.xml><?xml version="1.0" encoding="utf-8"?>
<ds:datastoreItem xmlns:ds="http://schemas.openxmlformats.org/officeDocument/2006/customXml" ds:itemID="{AF5A9F23-D4B7-41B3-BF2D-547E0FC2AB5A}">
  <ds:schemaRefs>
    <ds:schemaRef ds:uri="http://gemini/pivotcustomization/TableXML_Table10"/>
  </ds:schemaRefs>
</ds:datastoreItem>
</file>

<file path=customXml/itemProps8.xml><?xml version="1.0" encoding="utf-8"?>
<ds:datastoreItem xmlns:ds="http://schemas.openxmlformats.org/officeDocument/2006/customXml" ds:itemID="{16E1D947-49BE-4207-87C5-4BA8D4AFE2D2}">
  <ds:schemaRefs>
    <ds:schemaRef ds:uri="http://gemini/pivotcustomization/TableXML_Table7"/>
  </ds:schemaRefs>
</ds:datastoreItem>
</file>

<file path=customXml/itemProps9.xml><?xml version="1.0" encoding="utf-8"?>
<ds:datastoreItem xmlns:ds="http://schemas.openxmlformats.org/officeDocument/2006/customXml" ds:itemID="{4A8E6612-431E-4B22-8559-1635F47377DB}">
  <ds:schemaRefs>
    <ds:schemaRef ds:uri="http://gemini/pivotcustomization/FormulaBarState"/>
  </ds:schemaRefs>
</ds:datastoreItem>
</file>

<file path=customXml/itemProps10.xml><?xml version="1.0" encoding="utf-8"?>
<ds:datastoreItem xmlns:ds="http://schemas.openxmlformats.org/officeDocument/2006/customXml" ds:itemID="{2E5646FE-EC2C-4544-8442-04127671DCC3}">
  <ds:schemaRefs>
    <ds:schemaRef ds:uri="http://gemini/pivotcustomization/LinkedTableUpdateMode"/>
  </ds:schemaRefs>
</ds:datastoreItem>
</file>

<file path=customXml/itemProps11.xml><?xml version="1.0" encoding="utf-8"?>
<ds:datastoreItem xmlns:ds="http://schemas.openxmlformats.org/officeDocument/2006/customXml" ds:itemID="{B0FB7539-D12D-4C11-B8FF-E94125AA01BB}">
  <ds:schemaRefs>
    <ds:schemaRef ds:uri="http://gemini/pivotcustomization/ErrorCache"/>
  </ds:schemaRefs>
</ds:datastoreItem>
</file>

<file path=customXml/itemProps12.xml><?xml version="1.0" encoding="utf-8"?>
<ds:datastoreItem xmlns:ds="http://schemas.openxmlformats.org/officeDocument/2006/customXml" ds:itemID="{581BB285-2CBF-4052-9F00-B4A75F3939EC}">
  <ds:schemaRefs>
    <ds:schemaRef ds:uri="http://gemini/pivotcustomization/TableWidget"/>
  </ds:schemaRefs>
</ds:datastoreItem>
</file>

<file path=customXml/itemProps13.xml><?xml version="1.0" encoding="utf-8"?>
<ds:datastoreItem xmlns:ds="http://schemas.openxmlformats.org/officeDocument/2006/customXml" ds:itemID="{AB796262-3BF7-450F-B2AF-39D6A69719B2}">
  <ds:schemaRefs>
    <ds:schemaRef ds:uri="http://gemini/pivotcustomization/MeasureGridState"/>
  </ds:schemaRefs>
</ds:datastoreItem>
</file>

<file path=customXml/itemProps14.xml><?xml version="1.0" encoding="utf-8"?>
<ds:datastoreItem xmlns:ds="http://schemas.openxmlformats.org/officeDocument/2006/customXml" ds:itemID="{FC4035B7-5BCD-44FB-ABD0-97EE536FEB26}">
  <ds:schemaRefs>
    <ds:schemaRef ds:uri="http://gemini/pivotcustomization/TableXML_Table11"/>
  </ds:schemaRefs>
</ds:datastoreItem>
</file>

<file path=customXml/itemProps15.xml><?xml version="1.0" encoding="utf-8"?>
<ds:datastoreItem xmlns:ds="http://schemas.openxmlformats.org/officeDocument/2006/customXml" ds:itemID="{ECAC7BFD-2B6E-49A7-9256-892A4F109824}">
  <ds:schemaRefs>
    <ds:schemaRef ds:uri="http://gemini/pivotcustomization/TableXML_Table8"/>
  </ds:schemaRefs>
</ds:datastoreItem>
</file>

<file path=customXml/itemProps16.xml><?xml version="1.0" encoding="utf-8"?>
<ds:datastoreItem xmlns:ds="http://schemas.openxmlformats.org/officeDocument/2006/customXml" ds:itemID="{6614A3FF-A868-4579-BF35-08090E20C670}">
  <ds:schemaRefs>
    <ds:schemaRef ds:uri="http://gemini/pivotcustomization/Diagrams"/>
  </ds:schemaRefs>
</ds:datastoreItem>
</file>

<file path=customXml/itemProps17.xml><?xml version="1.0" encoding="utf-8"?>
<ds:datastoreItem xmlns:ds="http://schemas.openxmlformats.org/officeDocument/2006/customXml" ds:itemID="{9C3ABF54-BDA3-4805-AC88-7F87DF77E5B4}">
  <ds:schemaRefs>
    <ds:schemaRef ds:uri="http://gemini/pivotcustomization/SandboxNonEmpty"/>
  </ds:schemaRefs>
</ds:datastoreItem>
</file>

<file path=customXml/itemProps18.xml><?xml version="1.0" encoding="utf-8"?>
<ds:datastoreItem xmlns:ds="http://schemas.openxmlformats.org/officeDocument/2006/customXml" ds:itemID="{CA8F33AD-6CF6-4558-BED0-90C5B101D863}">
  <ds:schemaRefs>
    <ds:schemaRef ds:uri="http://gemini/pivotcustomization/TableCountInSandbox"/>
  </ds:schemaRefs>
</ds:datastoreItem>
</file>

<file path=customXml/itemProps19.xml><?xml version="1.0" encoding="utf-8"?>
<ds:datastoreItem xmlns:ds="http://schemas.openxmlformats.org/officeDocument/2006/customXml" ds:itemID="{F2E67400-3D87-4F65-B61C-38C5917EA7CF}">
  <ds:schemaRefs>
    <ds:schemaRef ds:uri="http://gemini/pivotcustomization/RelationshipAutoDetectionEnabled"/>
  </ds:schemaRefs>
</ds:datastoreItem>
</file>

<file path=customXml/itemProps20.xml><?xml version="1.0" encoding="utf-8"?>
<ds:datastoreItem xmlns:ds="http://schemas.openxmlformats.org/officeDocument/2006/customXml" ds:itemID="{DA4869CC-A607-4FB9-B28E-087D0A31877D}">
  <ds:schemaRefs>
    <ds:schemaRef ds:uri="http://gemini/pivotcustomization/ShowImplicitMeasures"/>
  </ds:schemaRefs>
</ds:datastoreItem>
</file>

<file path=customXml/itemProps21.xml><?xml version="1.0" encoding="utf-8"?>
<ds:datastoreItem xmlns:ds="http://schemas.openxmlformats.org/officeDocument/2006/customXml" ds:itemID="{F53D44A6-CD85-4E53-9C08-7C85C8ADD207}">
  <ds:schemaRefs>
    <ds:schemaRef ds:uri="http://gemini/pivotcustomization/ShowHidden"/>
  </ds:schemaRefs>
</ds:datastoreItem>
</file>

<file path=customXml/itemProps22.xml><?xml version="1.0" encoding="utf-8"?>
<ds:datastoreItem xmlns:ds="http://schemas.openxmlformats.org/officeDocument/2006/customXml" ds:itemID="{50BEA184-F962-4D40-A5A7-7B33C7B0475D}">
  <ds:schemaRefs>
    <ds:schemaRef ds:uri="http://gemini/pivotcustomization/TableXML_Table9"/>
  </ds:schemaRefs>
</ds:datastoreItem>
</file>

<file path=customXml/itemProps23.xml><?xml version="1.0" encoding="utf-8"?>
<ds:datastoreItem xmlns:ds="http://schemas.openxmlformats.org/officeDocument/2006/customXml" ds:itemID="{473293FE-4DED-4A67-838E-8FFC0EFEAF83}">
  <ds:schemaRefs>
    <ds:schemaRef ds:uri="http://gemini/pivotcustomization/ManualCalcMode"/>
  </ds:schemaRefs>
</ds:datastoreItem>
</file>

<file path=customXml/itemProps24.xml><?xml version="1.0" encoding="utf-8"?>
<ds:datastoreItem xmlns:ds="http://schemas.openxmlformats.org/officeDocument/2006/customXml" ds:itemID="{BFC58267-3FDE-4927-99AB-078BF2300485}">
  <ds:schemaRefs>
    <ds:schemaRef ds:uri="http://gemini/pivotcustomization/TableXML_Table2"/>
  </ds:schemaRefs>
</ds:datastoreItem>
</file>

<file path=customXml/itemProps25.xml><?xml version="1.0" encoding="utf-8"?>
<ds:datastoreItem xmlns:ds="http://schemas.openxmlformats.org/officeDocument/2006/customXml" ds:itemID="{DD430F10-9385-4CE8-8B32-9F864E6A78F4}">
  <ds:schemaRefs>
    <ds:schemaRef ds:uri="http://gemini/pivotcustomization/LinkedTables"/>
  </ds:schemaRefs>
</ds:datastoreItem>
</file>

<file path=customXml/itemProps26.xml><?xml version="1.0" encoding="utf-8"?>
<ds:datastoreItem xmlns:ds="http://schemas.openxmlformats.org/officeDocument/2006/customXml" ds:itemID="{6FDA511B-6609-48AF-9E58-82F9FD27E2FA}">
  <ds:schemaRefs>
    <ds:schemaRef ds:uri="http://gemini/pivotcustomization/ClientWindowXML"/>
  </ds:schemaRefs>
</ds:datastoreItem>
</file>

<file path=customXml/itemProps27.xml><?xml version="1.0" encoding="utf-8"?>
<ds:datastoreItem xmlns:ds="http://schemas.openxmlformats.org/officeDocument/2006/customXml" ds:itemID="{2B44F2FC-20FC-41CE-8FBA-B554AAF423AB}">
  <ds:schemaRefs>
    <ds:schemaRef ds:uri="http://gemini/pivotcustomization/PowerPivotVers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13</vt:i4>
      </vt:variant>
    </vt:vector>
  </HeadingPairs>
  <TitlesOfParts>
    <vt:vector size="20" baseType="lpstr">
      <vt:lpstr>Passing Chart</vt:lpstr>
      <vt:lpstr>Run Chart</vt:lpstr>
      <vt:lpstr>Summary</vt:lpstr>
      <vt:lpstr>Enter Numbers Here</vt:lpstr>
      <vt:lpstr>Refresh</vt:lpstr>
      <vt:lpstr>Chart Data</vt:lpstr>
      <vt:lpstr>Lookup</vt:lpstr>
      <vt:lpstr>Direction</vt:lpstr>
      <vt:lpstr>Distance</vt:lpstr>
      <vt:lpstr>Down</vt:lpstr>
      <vt:lpstr>Gap</vt:lpstr>
      <vt:lpstr>Hash</vt:lpstr>
      <vt:lpstr>Motion</vt:lpstr>
      <vt:lpstr>ODK</vt:lpstr>
      <vt:lpstr>PassData</vt:lpstr>
      <vt:lpstr>PlayData</vt:lpstr>
      <vt:lpstr>PlayType</vt:lpstr>
      <vt:lpstr>QTR</vt:lpstr>
      <vt:lpstr>Strength</vt:lpstr>
      <vt:lpstr>Zone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 Person</dc:creator>
  <cp:keywords/>
  <dc:description/>
  <cp:lastModifiedBy>William Hunter</cp:lastModifiedBy>
  <cp:revision/>
  <cp:lastPrinted>2017-11-21T22:04:24Z</cp:lastPrinted>
  <dcterms:created xsi:type="dcterms:W3CDTF">2015-02-11T22:00:23Z</dcterms:created>
  <dcterms:modified xsi:type="dcterms:W3CDTF">2019-01-12T18:44:16Z</dcterms:modified>
  <cp:category/>
  <cp:contentStatus/>
</cp:coreProperties>
</file>